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 Model" sheetId="2" state="visible" r:id="rId2"/>
    <sheet name="Employee Directory" sheetId="3" state="visible" r:id="rId3"/>
    <sheet name="Product Lookup" sheetId="4" state="visible" r:id="rId4"/>
    <sheet name="Sales Tracker" sheetId="5" state="visible" r:id="rId5"/>
    <sheet name="Statistical Analysis" sheetId="6" state="visible" r:id="rId6"/>
    <sheet name="DCF Valuation" sheetId="7" state="visible" r:id="rId7"/>
    <sheet name="Formula Toolkit" sheetId="8" state="visible" r:id="rId8"/>
    <sheet name="Function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#,##0;(#,##0);&quot;-&quot;"/>
    <numFmt numFmtId="166" formatCode="0.0%;(0.0%);&quot;-&quot;"/>
    <numFmt numFmtId="167" formatCode="YYYY-MM-DD"/>
    <numFmt numFmtId="168" formatCode="#,##0.0;(#,##0.0);&quot;-&quot;"/>
    <numFmt numFmtId="169" formatCode="$#,##0.00;($#,##0.00);&quot;-&quot;"/>
    <numFmt numFmtId="170" formatCode="0.0000"/>
    <numFmt numFmtId="171" formatCode="0.0x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Assumptions</t>
        </is>
      </c>
    </row>
    <row r="2"/>
    <row r="3">
      <c r="A3" t="inlineStr">
        <is>
          <t>COMPANY PROFILE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Min</t>
        </is>
      </c>
      <c r="E4" t="inlineStr">
        <is>
          <t>Max</t>
        </is>
      </c>
    </row>
    <row r="5">
      <c r="A5" t="inlineStr">
        <is>
          <t>Company Name</t>
        </is>
      </c>
      <c r="B5" t="inlineStr">
        <is>
          <t>Apex Dynamics Inc</t>
        </is>
      </c>
      <c r="C5" t="inlineStr">
        <is>
          <t>text</t>
        </is>
      </c>
    </row>
    <row r="6">
      <c r="A6" t="inlineStr">
        <is>
          <t>Ticker Symbol</t>
        </is>
      </c>
      <c r="B6" t="inlineStr">
        <is>
          <t>APDX</t>
        </is>
      </c>
      <c r="C6" t="inlineStr">
        <is>
          <t>text</t>
        </is>
      </c>
    </row>
    <row r="7">
      <c r="A7" t="inlineStr">
        <is>
          <t>Fiscal Year Start</t>
        </is>
      </c>
      <c r="B7" t="inlineStr">
        <is>
          <t>Jan</t>
        </is>
      </c>
      <c r="C7" t="inlineStr">
        <is>
          <t>month</t>
        </is>
      </c>
    </row>
    <row r="8">
      <c r="A8" t="inlineStr">
        <is>
          <t>Base Revenue ($M)</t>
        </is>
      </c>
      <c r="B8" s="1" t="n">
        <v>85.40000000000001</v>
      </c>
      <c r="C8" t="inlineStr">
        <is>
          <t>$M</t>
        </is>
      </c>
      <c r="D8" s="2" t="n">
        <v>10</v>
      </c>
      <c r="E8" s="2" t="n">
        <v>500</v>
      </c>
    </row>
    <row r="9">
      <c r="A9" t="inlineStr">
        <is>
          <t>Headcount</t>
        </is>
      </c>
      <c r="B9" s="2" t="n">
        <v>342</v>
      </c>
      <c r="C9" t="inlineStr">
        <is>
          <t>people</t>
        </is>
      </c>
      <c r="D9" s="2" t="n">
        <v>50</v>
      </c>
      <c r="E9" s="2" t="n">
        <v>2000</v>
      </c>
    </row>
    <row r="10">
      <c r="A10" t="inlineStr">
        <is>
          <t>Founded Year</t>
        </is>
      </c>
      <c r="B10" s="2" t="n">
        <v>2008</v>
      </c>
      <c r="C10" t="inlineStr">
        <is>
          <t>year</t>
        </is>
      </c>
      <c r="D10" s="2" t="n">
        <v>1900</v>
      </c>
      <c r="E10" s="2" t="n">
        <v>2030</v>
      </c>
    </row>
    <row r="11"/>
    <row r="12">
      <c r="A12" t="inlineStr">
        <is>
          <t>FINANCIAL ASSUMPTIONS</t>
        </is>
      </c>
    </row>
    <row r="13">
      <c r="A13" t="inlineStr">
        <is>
          <t>Parameter</t>
        </is>
      </c>
      <c r="B13" t="inlineStr">
        <is>
          <t>Value</t>
        </is>
      </c>
      <c r="C13" t="inlineStr">
        <is>
          <t>Unit</t>
        </is>
      </c>
      <c r="D13" t="inlineStr">
        <is>
          <t>Min</t>
        </is>
      </c>
      <c r="E13" t="inlineStr">
        <is>
          <t>Max</t>
        </is>
      </c>
    </row>
    <row r="14">
      <c r="A14" t="inlineStr">
        <is>
          <t>Revenue Growth Rate</t>
        </is>
      </c>
      <c r="B14" s="3" t="n">
        <v>0.082</v>
      </c>
      <c r="C14" t="inlineStr">
        <is>
          <t>%</t>
        </is>
      </c>
      <c r="D14" s="3" t="n">
        <v>0</v>
      </c>
      <c r="E14" s="3" t="n">
        <v>0.3</v>
      </c>
    </row>
    <row r="15">
      <c r="A15" t="inlineStr">
        <is>
          <t>Gross Margin</t>
        </is>
      </c>
      <c r="B15" s="3" t="n">
        <v>0.615</v>
      </c>
      <c r="C15" t="inlineStr">
        <is>
          <t>%</t>
        </is>
      </c>
      <c r="D15" s="3" t="n">
        <v>0.2</v>
      </c>
      <c r="E15" s="3" t="n">
        <v>0.9</v>
      </c>
    </row>
    <row r="16">
      <c r="A16" t="inlineStr">
        <is>
          <t>OpEx % Revenue</t>
        </is>
      </c>
      <c r="B16" s="3" t="n">
        <v>0.34</v>
      </c>
      <c r="C16" t="inlineStr">
        <is>
          <t>%</t>
        </is>
      </c>
      <c r="D16" s="3" t="n">
        <v>0.1</v>
      </c>
      <c r="E16" s="3" t="n">
        <v>0.6</v>
      </c>
    </row>
    <row r="17">
      <c r="A17" t="inlineStr">
        <is>
          <t>EBITDA Margin</t>
        </is>
      </c>
      <c r="B17" s="3" t="n">
        <v>0.221</v>
      </c>
      <c r="C17" t="inlineStr">
        <is>
          <t>%</t>
        </is>
      </c>
      <c r="D17" s="3" t="n">
        <v>0.05</v>
      </c>
      <c r="E17" s="3" t="n">
        <v>0.5</v>
      </c>
    </row>
    <row r="18">
      <c r="A18" t="inlineStr">
        <is>
          <t>Tax Rate</t>
        </is>
      </c>
      <c r="B18" s="3" t="n">
        <v>0.21</v>
      </c>
      <c r="C18" t="inlineStr">
        <is>
          <t>%</t>
        </is>
      </c>
      <c r="D18" s="3" t="n">
        <v>0</v>
      </c>
      <c r="E18" s="3" t="n">
        <v>0.4</v>
      </c>
    </row>
    <row r="19">
      <c r="A19" t="inlineStr">
        <is>
          <t>Discount Rate (WACC)</t>
        </is>
      </c>
      <c r="B19" s="3" t="n">
        <v>0.095</v>
      </c>
      <c r="C19" t="inlineStr">
        <is>
          <t>%</t>
        </is>
      </c>
      <c r="D19" s="3" t="n">
        <v>0.04</v>
      </c>
      <c r="E19" s="3" t="n">
        <v>0.2</v>
      </c>
    </row>
    <row r="20">
      <c r="A20" t="inlineStr">
        <is>
          <t>Terminal Growth Rate</t>
        </is>
      </c>
      <c r="B20" s="3" t="n">
        <v>0.025</v>
      </c>
      <c r="C20" t="inlineStr">
        <is>
          <t>%</t>
        </is>
      </c>
      <c r="D20" s="3" t="n">
        <v>0</v>
      </c>
      <c r="E20" s="3" t="n">
        <v>0.05</v>
      </c>
    </row>
    <row r="21">
      <c r="A21" t="inlineStr">
        <is>
          <t>Inflation Assumption</t>
        </is>
      </c>
      <c r="B21" s="3" t="n">
        <v>0.028</v>
      </c>
      <c r="C21" t="inlineStr">
        <is>
          <t>%</t>
        </is>
      </c>
      <c r="D21" s="3" t="n">
        <v>0</v>
      </c>
      <c r="E21" s="3" t="n">
        <v>0.1</v>
      </c>
    </row>
    <row r="22">
      <c r="A22" t="inlineStr">
        <is>
          <t>D&amp;A % Revenue</t>
        </is>
      </c>
      <c r="B22" s="3" t="n">
        <v>0.042</v>
      </c>
      <c r="C22" t="inlineStr">
        <is>
          <t>%</t>
        </is>
      </c>
      <c r="D22" s="3" t="n">
        <v>0.01</v>
      </c>
      <c r="E22" s="3" t="n">
        <v>0.1</v>
      </c>
    </row>
    <row r="23">
      <c r="A23" t="inlineStr">
        <is>
          <t>Capex % Revenue</t>
        </is>
      </c>
      <c r="B23" s="3" t="n">
        <v>0.065</v>
      </c>
      <c r="C23" t="inlineStr">
        <is>
          <t>%</t>
        </is>
      </c>
      <c r="D23" s="3" t="n">
        <v>0.02</v>
      </c>
      <c r="E23" s="3" t="n">
        <v>0.15</v>
      </c>
    </row>
    <row r="24"/>
    <row r="25">
      <c r="A25" t="inlineStr">
        <is>
          <t>SCENARIO SELECTOR</t>
        </is>
      </c>
    </row>
    <row r="26">
      <c r="A26" t="inlineStr">
        <is>
          <t>Parameter</t>
        </is>
      </c>
      <c r="B26" t="inlineStr">
        <is>
          <t>Value</t>
        </is>
      </c>
      <c r="C26" t="inlineStr">
        <is>
          <t>Unit</t>
        </is>
      </c>
      <c r="D26" t="inlineStr">
        <is>
          <t>Bear</t>
        </is>
      </c>
      <c r="E26" t="inlineStr">
        <is>
          <t>Bull</t>
        </is>
      </c>
    </row>
    <row r="27">
      <c r="A27" t="inlineStr">
        <is>
          <t>Active Scenario (1-3)</t>
        </is>
      </c>
      <c r="B27" s="4" t="n">
        <v>2</v>
      </c>
      <c r="C27" t="inlineStr">
        <is>
          <t>1=Bear 2=Base 3=Bull</t>
        </is>
      </c>
      <c r="D27" s="3" t="n">
        <v>1</v>
      </c>
      <c r="E27" s="3" t="n">
        <v>3</v>
      </c>
    </row>
    <row r="28">
      <c r="A28" t="inlineStr">
        <is>
          <t>Bear Growth Rate</t>
        </is>
      </c>
      <c r="B28" s="3" t="n">
        <v>0.02</v>
      </c>
      <c r="C28" t="inlineStr">
        <is>
          <t>%</t>
        </is>
      </c>
    </row>
    <row r="29">
      <c r="A29" t="inlineStr">
        <is>
          <t>Base Growth Rate</t>
        </is>
      </c>
      <c r="B29" s="3" t="n">
        <v>0.082</v>
      </c>
      <c r="C29" t="inlineStr">
        <is>
          <t>%</t>
        </is>
      </c>
    </row>
    <row r="30">
      <c r="A30" t="inlineStr">
        <is>
          <t>Bull Growth Rate</t>
        </is>
      </c>
      <c r="B30" s="3" t="n">
        <v>0.145</v>
      </c>
      <c r="C30" t="inlineStr">
        <is>
          <t>%</t>
        </is>
      </c>
    </row>
    <row r="31">
      <c r="A31" t="inlineStr">
        <is>
          <t>Active Growth Rate</t>
        </is>
      </c>
      <c r="B31" s="3">
        <f>IFERROR(CHOOSE(B27,B28,B29,B30),B29)</f>
        <v/>
      </c>
      <c r="C31" t="inlineStr">
        <is>
          <t>%</t>
        </is>
      </c>
    </row>
    <row r="32"/>
    <row r="33">
      <c r="A33" t="inlineStr">
        <is>
          <t>ASSUMPTION VALIDATION</t>
        </is>
      </c>
    </row>
    <row r="34">
      <c r="A34" t="inlineStr">
        <is>
          <t>Check</t>
        </is>
      </c>
      <c r="B34" t="inlineStr">
        <is>
          <t>Status</t>
        </is>
      </c>
      <c r="C34" t="inlineStr">
        <is>
          <t>Formula Logic</t>
        </is>
      </c>
      <c r="D34" t="inlineStr">
        <is>
          <t>Expected</t>
        </is>
      </c>
      <c r="E34" t="inlineStr">
        <is>
          <t>Actual</t>
        </is>
      </c>
    </row>
    <row r="35">
      <c r="A35" t="inlineStr">
        <is>
          <t>Scenario Valid</t>
        </is>
      </c>
      <c r="B35">
        <f>IF(AND(B27&gt;=1,B27&lt;=3),"✔ OK","✘ Out of range")</f>
        <v/>
      </c>
      <c r="C35" t="inlineStr">
        <is>
          <t>AND(B27&gt;=1,B27&lt;=3)</t>
        </is>
      </c>
      <c r="D35" t="inlineStr">
        <is>
          <t>1–3</t>
        </is>
      </c>
      <c r="E35">
        <f>TEXT(B27,"0")</f>
        <v/>
      </c>
    </row>
    <row r="36">
      <c r="A36" t="inlineStr">
        <is>
          <t>Company Name Filled</t>
        </is>
      </c>
      <c r="B36">
        <f>IF(ISBLANK(B5),"✘ Missing","✔ OK")</f>
        <v/>
      </c>
      <c r="C36" t="inlineStr">
        <is>
          <t>ISBLANK</t>
        </is>
      </c>
      <c r="D36" t="inlineStr">
        <is>
          <t>Non-empty</t>
        </is>
      </c>
      <c r="E36">
        <f>IF(ISBLANK(B5),"empty",LEFT(B5,12))</f>
        <v/>
      </c>
    </row>
    <row r="37">
      <c r="A37" t="inlineStr">
        <is>
          <t>Ticker is Text</t>
        </is>
      </c>
      <c r="B37">
        <f>IF(ISTEXT(B6),"✔ OK","✘ Not text")</f>
        <v/>
      </c>
      <c r="C37" t="inlineStr">
        <is>
          <t>ISTEXT</t>
        </is>
      </c>
      <c r="D37" t="inlineStr">
        <is>
          <t>Text string</t>
        </is>
      </c>
      <c r="E37">
        <f>B6</f>
        <v/>
      </c>
    </row>
    <row r="38">
      <c r="A38" t="inlineStr">
        <is>
          <t>Growth in Range</t>
        </is>
      </c>
      <c r="B38">
        <f>IF(AND(B14&gt;=D14,B14&lt;=E14),"✔ OK","✘ Out of range")</f>
        <v/>
      </c>
      <c r="C38" t="inlineStr">
        <is>
          <t>AND with bounds</t>
        </is>
      </c>
      <c r="D38" t="inlineStr">
        <is>
          <t>0%–30%</t>
        </is>
      </c>
      <c r="E38">
        <f>TEXT(B14,"0.0%")</f>
        <v/>
      </c>
    </row>
    <row r="39">
      <c r="A39" t="inlineStr">
        <is>
          <t>Discount &gt; Terminal</t>
        </is>
      </c>
      <c r="B39">
        <f>IF(B19&gt;B20,"✔ OK","✘ Check rates")</f>
        <v/>
      </c>
      <c r="C39" t="inlineStr">
        <is>
          <t>Simple comparison</t>
        </is>
      </c>
      <c r="D39" t="inlineStr">
        <is>
          <t>WACC &gt; TGR</t>
        </is>
      </c>
      <c r="E39">
        <f>TEXT(B19-B20,"0.0%")</f>
        <v/>
      </c>
    </row>
    <row r="40">
      <c r="A40" t="inlineStr">
        <is>
          <t>Tax Rate Valid</t>
        </is>
      </c>
      <c r="B40">
        <f>IF(OR(B18&lt;0,B18&gt;0.5),"✘ Unusual","✔ OK")</f>
        <v/>
      </c>
      <c r="C40" t="inlineStr">
        <is>
          <t>OR out-of-bounds</t>
        </is>
      </c>
      <c r="D40" t="inlineStr">
        <is>
          <t>0%–50%</t>
        </is>
      </c>
      <c r="E40">
        <f>TEXT(B18,"0.0%")</f>
        <v/>
      </c>
    </row>
  </sheetData>
  <mergeCells count="4">
    <mergeCell ref="A33:E33"/>
    <mergeCell ref="A12:E12"/>
    <mergeCell ref="A25:E2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 7-Year Revenue &amp; Profitability Model</t>
        </is>
      </c>
    </row>
    <row r="2"/>
    <row r="3">
      <c r="B3" t="inlineStr">
        <is>
          <t>PROJECTED FISCAL YEARS  ($M)</t>
        </is>
      </c>
    </row>
    <row r="4">
      <c r="A4" t="inlineStr">
        <is>
          <t>Line Item</t>
        </is>
      </c>
      <c r="B4" t="inlineStr">
        <is>
          <t>2024</t>
        </is>
      </c>
      <c r="C4" t="inlineStr">
        <is>
          <t>2025</t>
        </is>
      </c>
      <c r="D4" t="inlineStr">
        <is>
          <t>2026</t>
        </is>
      </c>
      <c r="E4" t="inlineStr">
        <is>
          <t>2027</t>
        </is>
      </c>
      <c r="F4" t="inlineStr">
        <is>
          <t>2028</t>
        </is>
      </c>
      <c r="G4" t="inlineStr">
        <is>
          <t>2029</t>
        </is>
      </c>
      <c r="H4" t="inlineStr">
        <is>
          <t>2030</t>
        </is>
      </c>
    </row>
    <row r="5">
      <c r="A5" t="inlineStr">
        <is>
          <t>── REVENUE ──</t>
        </is>
      </c>
    </row>
    <row r="6">
      <c r="A6" t="inlineStr">
        <is>
          <t>Base Revenue ($M)</t>
        </is>
      </c>
      <c r="B6" s="1">
        <f>Assumptions!B8</f>
        <v/>
      </c>
      <c r="C6" s="1">
        <f>B8</f>
        <v/>
      </c>
      <c r="D6" s="1">
        <f>C8</f>
        <v/>
      </c>
      <c r="E6" s="1">
        <f>D8</f>
        <v/>
      </c>
      <c r="F6" s="1">
        <f>E8</f>
        <v/>
      </c>
      <c r="G6" s="1">
        <f>F8</f>
        <v/>
      </c>
      <c r="H6" s="1">
        <f>G8</f>
        <v/>
      </c>
    </row>
    <row r="7">
      <c r="A7" t="inlineStr">
        <is>
          <t>YoY Growth Rate</t>
        </is>
      </c>
      <c r="B7" s="3">
        <f>Assumptions!B31</f>
        <v/>
      </c>
      <c r="C7" s="3">
        <f>Assumptions!B31</f>
        <v/>
      </c>
      <c r="D7" s="3">
        <f>Assumptions!B31</f>
        <v/>
      </c>
      <c r="E7" s="3">
        <f>Assumptions!B31</f>
        <v/>
      </c>
      <c r="F7" s="3">
        <f>Assumptions!B31</f>
        <v/>
      </c>
      <c r="G7" s="3">
        <f>Assumptions!B31</f>
        <v/>
      </c>
      <c r="H7" s="3">
        <f>Assumptions!B31</f>
        <v/>
      </c>
    </row>
    <row r="8">
      <c r="A8" t="inlineStr">
        <is>
          <t>Revenue ($M)</t>
        </is>
      </c>
      <c r="B8" s="1">
        <f>B6</f>
        <v/>
      </c>
      <c r="C8" s="1">
        <f>ROUND(B8*(1+C7),2)</f>
        <v/>
      </c>
      <c r="D8" s="1">
        <f>ROUND(C8*(1+D7),2)</f>
        <v/>
      </c>
      <c r="E8" s="1">
        <f>ROUND(D8*(1+E7),2)</f>
        <v/>
      </c>
      <c r="F8" s="1">
        <f>ROUND(E8*(1+F7),2)</f>
        <v/>
      </c>
      <c r="G8" s="1">
        <f>ROUND(F8*(1+G7),2)</f>
        <v/>
      </c>
      <c r="H8" s="1">
        <f>ROUND(G8*(1+H7),2)</f>
        <v/>
      </c>
    </row>
    <row r="9">
      <c r="A9" t="inlineStr">
        <is>
          <t>── PROFITABILITY ──</t>
        </is>
      </c>
    </row>
    <row r="10">
      <c r="A10" t="inlineStr">
        <is>
          <t>Gross Profit ($M)</t>
        </is>
      </c>
      <c r="B10" s="1">
        <f>ROUND(B8*Assumptions!$B$15,2)</f>
        <v/>
      </c>
      <c r="C10" s="1">
        <f>ROUND(C8*Assumptions!$B$15,2)</f>
        <v/>
      </c>
      <c r="D10" s="1">
        <f>ROUND(D8*Assumptions!$B$15,2)</f>
        <v/>
      </c>
      <c r="E10" s="1">
        <f>ROUND(E8*Assumptions!$B$15,2)</f>
        <v/>
      </c>
      <c r="F10" s="1">
        <f>ROUND(F8*Assumptions!$B$15,2)</f>
        <v/>
      </c>
      <c r="G10" s="1">
        <f>ROUND(G8*Assumptions!$B$15,2)</f>
        <v/>
      </c>
      <c r="H10" s="1">
        <f>ROUND(H8*Assumptions!$B$15,2)</f>
        <v/>
      </c>
    </row>
    <row r="11">
      <c r="A11" t="inlineStr">
        <is>
          <t>Gross Margin %</t>
        </is>
      </c>
      <c r="B11" s="3">
        <f>IFERROR(B10/B8,0)</f>
        <v/>
      </c>
      <c r="C11" s="3">
        <f>IFERROR(C10/C8,0)</f>
        <v/>
      </c>
      <c r="D11" s="3">
        <f>IFERROR(D10/D8,0)</f>
        <v/>
      </c>
      <c r="E11" s="3">
        <f>IFERROR(E10/E8,0)</f>
        <v/>
      </c>
      <c r="F11" s="3">
        <f>IFERROR(F10/F8,0)</f>
        <v/>
      </c>
      <c r="G11" s="3">
        <f>IFERROR(G10/G8,0)</f>
        <v/>
      </c>
      <c r="H11" s="3">
        <f>IFERROR(H10/H8,0)</f>
        <v/>
      </c>
    </row>
    <row r="12">
      <c r="A12" t="inlineStr">
        <is>
          <t>Operating Expenses ($M)</t>
        </is>
      </c>
      <c r="B12" s="1">
        <f>ROUND(B8*Assumptions!$B$16,2)</f>
        <v/>
      </c>
      <c r="C12" s="1">
        <f>ROUND(C8*Assumptions!$B$16,2)</f>
        <v/>
      </c>
      <c r="D12" s="1">
        <f>ROUND(D8*Assumptions!$B$16,2)</f>
        <v/>
      </c>
      <c r="E12" s="1">
        <f>ROUND(E8*Assumptions!$B$16,2)</f>
        <v/>
      </c>
      <c r="F12" s="1">
        <f>ROUND(F8*Assumptions!$B$16,2)</f>
        <v/>
      </c>
      <c r="G12" s="1">
        <f>ROUND(G8*Assumptions!$B$16,2)</f>
        <v/>
      </c>
      <c r="H12" s="1">
        <f>ROUND(H8*Assumptions!$B$16,2)</f>
        <v/>
      </c>
    </row>
    <row r="13">
      <c r="A13" t="inlineStr">
        <is>
          <t>EBITDA ($M)</t>
        </is>
      </c>
      <c r="B13" s="1">
        <f>B10-B12</f>
        <v/>
      </c>
      <c r="C13" s="1">
        <f>C10-C12</f>
        <v/>
      </c>
      <c r="D13" s="1">
        <f>D10-D12</f>
        <v/>
      </c>
      <c r="E13" s="1">
        <f>E10-E12</f>
        <v/>
      </c>
      <c r="F13" s="1">
        <f>F10-F12</f>
        <v/>
      </c>
      <c r="G13" s="1">
        <f>G10-G12</f>
        <v/>
      </c>
      <c r="H13" s="1">
        <f>H10-H12</f>
        <v/>
      </c>
    </row>
    <row r="14">
      <c r="A14" t="inlineStr">
        <is>
          <t>EBITDA Margin %</t>
        </is>
      </c>
      <c r="B14" s="3">
        <f>IFERROR(B13/B8,0)</f>
        <v/>
      </c>
      <c r="C14" s="3">
        <f>IFERROR(C13/C8,0)</f>
        <v/>
      </c>
      <c r="D14" s="3">
        <f>IFERROR(D13/D8,0)</f>
        <v/>
      </c>
      <c r="E14" s="3">
        <f>IFERROR(E13/E8,0)</f>
        <v/>
      </c>
      <c r="F14" s="3">
        <f>IFERROR(F13/F8,0)</f>
        <v/>
      </c>
      <c r="G14" s="3">
        <f>IFERROR(G13/G8,0)</f>
        <v/>
      </c>
      <c r="H14" s="3">
        <f>IFERROR(H13/H8,0)</f>
        <v/>
      </c>
    </row>
    <row r="15">
      <c r="A15" t="inlineStr">
        <is>
          <t>D&amp;A ($M)</t>
        </is>
      </c>
      <c r="B15" s="1">
        <f>ROUND(B8*Assumptions!$B$22,2)</f>
        <v/>
      </c>
      <c r="C15" s="1">
        <f>ROUND(C8*Assumptions!$B$22,2)</f>
        <v/>
      </c>
      <c r="D15" s="1">
        <f>ROUND(D8*Assumptions!$B$22,2)</f>
        <v/>
      </c>
      <c r="E15" s="1">
        <f>ROUND(E8*Assumptions!$B$22,2)</f>
        <v/>
      </c>
      <c r="F15" s="1">
        <f>ROUND(F8*Assumptions!$B$22,2)</f>
        <v/>
      </c>
      <c r="G15" s="1">
        <f>ROUND(G8*Assumptions!$B$22,2)</f>
        <v/>
      </c>
      <c r="H15" s="1">
        <f>ROUND(H8*Assumptions!$B$22,2)</f>
        <v/>
      </c>
    </row>
    <row r="16">
      <c r="A16" t="inlineStr">
        <is>
          <t>EBIT ($M)</t>
        </is>
      </c>
      <c r="B16" s="1">
        <f>B13-B15</f>
        <v/>
      </c>
      <c r="C16" s="1">
        <f>C13-C15</f>
        <v/>
      </c>
      <c r="D16" s="1">
        <f>D13-D15</f>
        <v/>
      </c>
      <c r="E16" s="1">
        <f>E13-E15</f>
        <v/>
      </c>
      <c r="F16" s="1">
        <f>F13-F15</f>
        <v/>
      </c>
      <c r="G16" s="1">
        <f>G13-G15</f>
        <v/>
      </c>
      <c r="H16" s="1">
        <f>H13-H15</f>
        <v/>
      </c>
    </row>
    <row r="17">
      <c r="A17" t="inlineStr">
        <is>
          <t>EBIT Margin %</t>
        </is>
      </c>
      <c r="B17" s="3">
        <f>IFERROR(B16/B8,0)</f>
        <v/>
      </c>
      <c r="C17" s="3">
        <f>IFERROR(C16/C8,0)</f>
        <v/>
      </c>
      <c r="D17" s="3">
        <f>IFERROR(D16/D8,0)</f>
        <v/>
      </c>
      <c r="E17" s="3">
        <f>IFERROR(E16/E8,0)</f>
        <v/>
      </c>
      <c r="F17" s="3">
        <f>IFERROR(F16/F8,0)</f>
        <v/>
      </c>
      <c r="G17" s="3">
        <f>IFERROR(G16/G8,0)</f>
        <v/>
      </c>
      <c r="H17" s="3">
        <f>IFERROR(H16/H8,0)</f>
        <v/>
      </c>
    </row>
    <row r="18">
      <c r="A18" t="inlineStr">
        <is>
          <t>Tax Expense ($M)</t>
        </is>
      </c>
      <c r="B18" s="1">
        <f>IF(B16&gt;0,ROUND(B16*Assumptions!$B$18,2),0)</f>
        <v/>
      </c>
      <c r="C18" s="1">
        <f>IF(C16&gt;0,ROUND(C16*Assumptions!$B$18,2),0)</f>
        <v/>
      </c>
      <c r="D18" s="1">
        <f>IF(D16&gt;0,ROUND(D16*Assumptions!$B$18,2),0)</f>
        <v/>
      </c>
      <c r="E18" s="1">
        <f>IF(E16&gt;0,ROUND(E16*Assumptions!$B$18,2),0)</f>
        <v/>
      </c>
      <c r="F18" s="1">
        <f>IF(F16&gt;0,ROUND(F16*Assumptions!$B$18,2),0)</f>
        <v/>
      </c>
      <c r="G18" s="1">
        <f>IF(G16&gt;0,ROUND(G16*Assumptions!$B$18,2),0)</f>
        <v/>
      </c>
      <c r="H18" s="1">
        <f>IF(H16&gt;0,ROUND(H16*Assumptions!$B$18,2),0)</f>
        <v/>
      </c>
    </row>
    <row r="19">
      <c r="A19" t="inlineStr">
        <is>
          <t>Net Income ($M)</t>
        </is>
      </c>
      <c r="B19" s="1">
        <f>B16-B18</f>
        <v/>
      </c>
      <c r="C19" s="1">
        <f>C16-C18</f>
        <v/>
      </c>
      <c r="D19" s="1">
        <f>D16-D18</f>
        <v/>
      </c>
      <c r="E19" s="1">
        <f>E16-E18</f>
        <v/>
      </c>
      <c r="F19" s="1">
        <f>F16-F18</f>
        <v/>
      </c>
      <c r="G19" s="1">
        <f>G16-G18</f>
        <v/>
      </c>
      <c r="H19" s="1">
        <f>H16-H18</f>
        <v/>
      </c>
    </row>
    <row r="20">
      <c r="A20" t="inlineStr">
        <is>
          <t>Net Margin %</t>
        </is>
      </c>
      <c r="B20" s="3">
        <f>IFERROR(B19/B8,0)</f>
        <v/>
      </c>
      <c r="C20" s="3">
        <f>IFERROR(C19/C8,0)</f>
        <v/>
      </c>
      <c r="D20" s="3">
        <f>IFERROR(D19/D8,0)</f>
        <v/>
      </c>
      <c r="E20" s="3">
        <f>IFERROR(E19/E8,0)</f>
        <v/>
      </c>
      <c r="F20" s="3">
        <f>IFERROR(F19/F8,0)</f>
        <v/>
      </c>
      <c r="G20" s="3">
        <f>IFERROR(G19/G8,0)</f>
        <v/>
      </c>
      <c r="H20" s="3">
        <f>IFERROR(H19/H8,0)</f>
        <v/>
      </c>
    </row>
    <row r="21">
      <c r="A21" t="inlineStr">
        <is>
          <t>── CASH FLOW ──</t>
        </is>
      </c>
    </row>
    <row r="22">
      <c r="A22" t="inlineStr">
        <is>
          <t>D&amp;A Add-back</t>
        </is>
      </c>
      <c r="B22" s="1">
        <f>B15</f>
        <v/>
      </c>
      <c r="C22" s="1">
        <f>C15</f>
        <v/>
      </c>
      <c r="D22" s="1">
        <f>D15</f>
        <v/>
      </c>
      <c r="E22" s="1">
        <f>E15</f>
        <v/>
      </c>
      <c r="F22" s="1">
        <f>F15</f>
        <v/>
      </c>
      <c r="G22" s="1">
        <f>G15</f>
        <v/>
      </c>
      <c r="H22" s="1">
        <f>H15</f>
        <v/>
      </c>
    </row>
    <row r="23">
      <c r="A23" t="inlineStr">
        <is>
          <t>Capex ($M)</t>
        </is>
      </c>
      <c r="B23" s="1">
        <f>-ROUND(B8*Assumptions!$B$23,2)</f>
        <v/>
      </c>
      <c r="C23" s="1">
        <f>-ROUND(C8*Assumptions!$B$23,2)</f>
        <v/>
      </c>
      <c r="D23" s="1">
        <f>-ROUND(D8*Assumptions!$B$23,2)</f>
        <v/>
      </c>
      <c r="E23" s="1">
        <f>-ROUND(E8*Assumptions!$B$23,2)</f>
        <v/>
      </c>
      <c r="F23" s="1">
        <f>-ROUND(F8*Assumptions!$B$23,2)</f>
        <v/>
      </c>
      <c r="G23" s="1">
        <f>-ROUND(G8*Assumptions!$B$23,2)</f>
        <v/>
      </c>
      <c r="H23" s="1">
        <f>-ROUND(H8*Assumptions!$B$23,2)</f>
        <v/>
      </c>
    </row>
    <row r="24">
      <c r="A24" t="inlineStr">
        <is>
          <t>Free Cash Flow ($M)</t>
        </is>
      </c>
      <c r="B24" s="1">
        <f>B19+B22+B23</f>
        <v/>
      </c>
      <c r="C24" s="1">
        <f>C19+C22+C23</f>
        <v/>
      </c>
      <c r="D24" s="1">
        <f>D19+D22+D23</f>
        <v/>
      </c>
      <c r="E24" s="1">
        <f>E19+E22+E23</f>
        <v/>
      </c>
      <c r="F24" s="1">
        <f>F19+F22+F23</f>
        <v/>
      </c>
      <c r="G24" s="1">
        <f>G19+G22+G23</f>
        <v/>
      </c>
      <c r="H24" s="1">
        <f>H19+H22+H23</f>
        <v/>
      </c>
    </row>
    <row r="25"/>
    <row r="26"/>
    <row r="27">
      <c r="A27" t="inlineStr">
        <is>
          <t>SUMMARY STATISTICS</t>
        </is>
      </c>
    </row>
    <row r="28">
      <c r="A28" t="inlineStr">
        <is>
          <t>Metric</t>
        </is>
      </c>
      <c r="B28" t="inlineStr">
        <is>
          <t>Value</t>
        </is>
      </c>
      <c r="C28" t="inlineStr">
        <is>
          <t>Formula Used</t>
        </is>
      </c>
      <c r="D28" t="inlineStr">
        <is>
          <t>Notes</t>
        </is>
      </c>
    </row>
    <row r="29">
      <c r="A29" t="inlineStr">
        <is>
          <t>Total 7-Yr Revenue</t>
        </is>
      </c>
      <c r="B29" s="1">
        <f>SUM(B8:H8)</f>
        <v/>
      </c>
      <c r="C29" t="inlineStr">
        <is>
          <t>SUM</t>
        </is>
      </c>
    </row>
    <row r="30">
      <c r="A30" t="inlineStr">
        <is>
          <t>AVERAGE Annual Revenue</t>
        </is>
      </c>
      <c r="B30" s="1">
        <f>AVERAGE(B8:H8)</f>
        <v/>
      </c>
      <c r="C30" t="inlineStr">
        <is>
          <t>AVERAGE</t>
        </is>
      </c>
    </row>
    <row r="31">
      <c r="A31" t="inlineStr">
        <is>
          <t>Max Revenue Year</t>
        </is>
      </c>
      <c r="B31" s="1">
        <f>MAX(B8:H8)</f>
        <v/>
      </c>
      <c r="C31" t="inlineStr">
        <is>
          <t>MAX</t>
        </is>
      </c>
    </row>
    <row r="32">
      <c r="A32" t="inlineStr">
        <is>
          <t>Min Revenue Year</t>
        </is>
      </c>
      <c r="B32" s="1">
        <f>MIN(B8:H8)</f>
        <v/>
      </c>
      <c r="C32" t="inlineStr">
        <is>
          <t>MIN</t>
        </is>
      </c>
    </row>
    <row r="33">
      <c r="A33" t="inlineStr">
        <is>
          <t>Revenue Std Dev</t>
        </is>
      </c>
      <c r="B33" s="1">
        <f>STDEV(B8:H8)</f>
        <v/>
      </c>
      <c r="C33" t="inlineStr">
        <is>
          <t>STDEV</t>
        </is>
      </c>
    </row>
    <row r="34">
      <c r="A34" t="inlineStr">
        <is>
          <t>Rev CAGR (7yr)</t>
        </is>
      </c>
      <c r="B34" s="3">
        <f>IFERROR((H8/B8)^(1/6)-1,0)</f>
        <v/>
      </c>
      <c r="C34" t="inlineStr">
        <is>
          <t>Math</t>
        </is>
      </c>
    </row>
    <row r="35">
      <c r="A35" t="inlineStr">
        <is>
          <t>NPV of FCF</t>
        </is>
      </c>
      <c r="B35" s="1">
        <f>IFERROR(NPV(Assumptions!B19,C24:H24)+B24,0)</f>
        <v/>
      </c>
      <c r="C35" t="inlineStr">
        <is>
          <t>NPV</t>
        </is>
      </c>
    </row>
    <row r="36">
      <c r="A36" t="inlineStr">
        <is>
          <t>Avg EBITDA Margin</t>
        </is>
      </c>
      <c r="B36" s="3">
        <f>IFERROR(AVERAGE(B14:H14),0)</f>
        <v/>
      </c>
      <c r="C36" t="inlineStr">
        <is>
          <t>AVERAGE</t>
        </is>
      </c>
    </row>
    <row r="37">
      <c r="A37" t="inlineStr">
        <is>
          <t>Best Net Margin Yr</t>
        </is>
      </c>
      <c r="B37">
        <f>TEXT(INDEX(B4:H4,MATCH(MAX(B20:H20),B20:H20,0)),"0")</f>
        <v/>
      </c>
      <c r="C37" t="inlineStr">
        <is>
          <t>INDEX+MATCH+TEXT</t>
        </is>
      </c>
    </row>
    <row r="38">
      <c r="A38" t="inlineStr">
        <is>
          <t>Total Net Income</t>
        </is>
      </c>
      <c r="B38" s="1">
        <f>SUM(B19:H19)</f>
        <v/>
      </c>
      <c r="C38" t="inlineStr">
        <is>
          <t>SUM</t>
        </is>
      </c>
    </row>
    <row r="39">
      <c r="A39" t="inlineStr">
        <is>
          <t>Count Profitable Yrs</t>
        </is>
      </c>
      <c r="B39" s="2">
        <f>COUNTIF(B19:H19,"&gt;0")</f>
        <v/>
      </c>
      <c r="C39" t="inlineStr">
        <is>
          <t>COUNTIF</t>
        </is>
      </c>
    </row>
    <row r="40">
      <c r="A40" t="inlineStr">
        <is>
          <t>Top 3 FCF Average</t>
        </is>
      </c>
      <c r="B40" s="1">
        <f>IFERROR((LARGE(B24:H24,1)+LARGE(B24:H24,2)+LARGE(B24:H24,3))/3,0)</f>
        <v/>
      </c>
      <c r="C40" t="inlineStr">
        <is>
          <t>LARGE</t>
        </is>
      </c>
    </row>
  </sheetData>
  <mergeCells count="2">
    <mergeCell ref="B3:H3"/>
    <mergeCell ref="A27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👥  Employee Directory &amp; Analytics</t>
        </is>
      </c>
    </row>
    <row r="2"/>
    <row r="3">
      <c r="A3" t="inlineStr">
        <is>
          <t>EMPLOYEE MASTER TABLE</t>
        </is>
      </c>
    </row>
    <row r="4">
      <c r="A4" t="inlineStr">
        <is>
          <t>Emp ID</t>
        </is>
      </c>
      <c r="B4" t="inlineStr">
        <is>
          <t>First</t>
        </is>
      </c>
      <c r="C4" t="inlineStr">
        <is>
          <t>Last</t>
        </is>
      </c>
      <c r="D4" t="inlineStr">
        <is>
          <t>Full Name</t>
        </is>
      </c>
      <c r="E4" t="inlineStr">
        <is>
          <t>Dept</t>
        </is>
      </c>
      <c r="F4" t="inlineStr">
        <is>
          <t>Title</t>
        </is>
      </c>
      <c r="G4" t="inlineStr">
        <is>
          <t>Salary</t>
        </is>
      </c>
      <c r="H4" t="inlineStr">
        <is>
          <t>Start Date</t>
        </is>
      </c>
      <c r="I4" t="inlineStr">
        <is>
          <t>Yrs Tenure</t>
        </is>
      </c>
      <c r="J4" t="inlineStr">
        <is>
          <t>Grade</t>
        </is>
      </c>
      <c r="K4" t="inlineStr">
        <is>
          <t>Status</t>
        </is>
      </c>
      <c r="L4" t="inlineStr">
        <is>
          <t>Email</t>
        </is>
      </c>
    </row>
    <row r="5">
      <c r="A5" t="inlineStr">
        <is>
          <t>E001</t>
        </is>
      </c>
      <c r="B5" t="inlineStr">
        <is>
          <t>Sarah</t>
        </is>
      </c>
      <c r="C5" t="inlineStr">
        <is>
          <t>Chen</t>
        </is>
      </c>
      <c r="D5">
        <f>CONCATENATE(B5," ",C5)</f>
        <v/>
      </c>
      <c r="E5" t="inlineStr">
        <is>
          <t>Engineering</t>
        </is>
      </c>
      <c r="F5" t="inlineStr">
        <is>
          <t>Sr Engineer</t>
        </is>
      </c>
      <c r="G5" s="1" t="n">
        <v>112000</v>
      </c>
      <c r="H5" s="5" t="inlineStr">
        <is>
          <t>2018-03-15</t>
        </is>
      </c>
      <c r="I5" s="6">
        <f>ROUNDDOWN((TODAY()-H5)/365.25,1)</f>
        <v/>
      </c>
      <c r="J5" t="inlineStr">
        <is>
          <t>A</t>
        </is>
      </c>
      <c r="K5">
        <f>IF(I5&lt;1,"New",IF(I5&lt;3,"Junior",IF(I5&lt;7,"Mid","Senior")))</f>
        <v/>
      </c>
      <c r="L5">
        <f>LOWER(CONCATENATE(LEFT(B5,1),C5,"@apexdynamics.com"))</f>
        <v/>
      </c>
    </row>
    <row r="6">
      <c r="A6" t="inlineStr">
        <is>
          <t>E002</t>
        </is>
      </c>
      <c r="B6" t="inlineStr">
        <is>
          <t>Marcus</t>
        </is>
      </c>
      <c r="C6" t="inlineStr">
        <is>
          <t>Williams</t>
        </is>
      </c>
      <c r="D6">
        <f>CONCATENATE(B6," ",C6)</f>
        <v/>
      </c>
      <c r="E6" t="inlineStr">
        <is>
          <t>Finance</t>
        </is>
      </c>
      <c r="F6" t="inlineStr">
        <is>
          <t>Analyst</t>
        </is>
      </c>
      <c r="G6" s="1" t="n">
        <v>68000</v>
      </c>
      <c r="H6" s="5" t="inlineStr">
        <is>
          <t>2021-07-01</t>
        </is>
      </c>
      <c r="I6" s="6">
        <f>ROUNDDOWN((TODAY()-H6)/365.25,1)</f>
        <v/>
      </c>
      <c r="J6" t="inlineStr">
        <is>
          <t>B</t>
        </is>
      </c>
      <c r="K6">
        <f>IF(I6&lt;1,"New",IF(I6&lt;3,"Junior",IF(I6&lt;7,"Mid","Senior")))</f>
        <v/>
      </c>
      <c r="L6">
        <f>LOWER(CONCATENATE(LEFT(B6,1),C6,"@apexdynamics.com"))</f>
        <v/>
      </c>
    </row>
    <row r="7">
      <c r="A7" t="inlineStr">
        <is>
          <t>E003</t>
        </is>
      </c>
      <c r="B7" t="inlineStr">
        <is>
          <t>Priya</t>
        </is>
      </c>
      <c r="C7" t="inlineStr">
        <is>
          <t>Patel</t>
        </is>
      </c>
      <c r="D7">
        <f>CONCATENATE(B7," ",C7)</f>
        <v/>
      </c>
      <c r="E7" t="inlineStr">
        <is>
          <t>Engineering</t>
        </is>
      </c>
      <c r="F7" t="inlineStr">
        <is>
          <t>Lead Engineer</t>
        </is>
      </c>
      <c r="G7" s="1" t="n">
        <v>138000</v>
      </c>
      <c r="H7" s="5" t="inlineStr">
        <is>
          <t>2015-11-20</t>
        </is>
      </c>
      <c r="I7" s="6">
        <f>ROUNDDOWN((TODAY()-H7)/365.25,1)</f>
        <v/>
      </c>
      <c r="J7" t="inlineStr">
        <is>
          <t>A</t>
        </is>
      </c>
      <c r="K7">
        <f>IF(I7&lt;1,"New",IF(I7&lt;3,"Junior",IF(I7&lt;7,"Mid","Senior")))</f>
        <v/>
      </c>
      <c r="L7">
        <f>LOWER(CONCATENATE(LEFT(B7,1),C7,"@apexdynamics.com"))</f>
        <v/>
      </c>
    </row>
    <row r="8">
      <c r="A8" t="inlineStr">
        <is>
          <t>E004</t>
        </is>
      </c>
      <c r="B8" t="inlineStr">
        <is>
          <t>James</t>
        </is>
      </c>
      <c r="C8" t="inlineStr">
        <is>
          <t>O'Brien</t>
        </is>
      </c>
      <c r="D8">
        <f>CONCATENATE(B8," ",C8)</f>
        <v/>
      </c>
      <c r="E8" t="inlineStr">
        <is>
          <t>Sales</t>
        </is>
      </c>
      <c r="F8" t="inlineStr">
        <is>
          <t>Account Exec</t>
        </is>
      </c>
      <c r="G8" s="1" t="n">
        <v>82000</v>
      </c>
      <c r="H8" s="5" t="inlineStr">
        <is>
          <t>2020-02-14</t>
        </is>
      </c>
      <c r="I8" s="6">
        <f>ROUNDDOWN((TODAY()-H8)/365.25,1)</f>
        <v/>
      </c>
      <c r="J8" t="inlineStr">
        <is>
          <t>B</t>
        </is>
      </c>
      <c r="K8">
        <f>IF(I8&lt;1,"New",IF(I8&lt;3,"Junior",IF(I8&lt;7,"Mid","Senior")))</f>
        <v/>
      </c>
      <c r="L8">
        <f>LOWER(CONCATENATE(LEFT(B8,1),C8,"@apexdynamics.com"))</f>
        <v/>
      </c>
    </row>
    <row r="9">
      <c r="A9" t="inlineStr">
        <is>
          <t>E005</t>
        </is>
      </c>
      <c r="B9" t="inlineStr">
        <is>
          <t>Aisha</t>
        </is>
      </c>
      <c r="C9" t="inlineStr">
        <is>
          <t>Johnson</t>
        </is>
      </c>
      <c r="D9">
        <f>CONCATENATE(B9," ",C9)</f>
        <v/>
      </c>
      <c r="E9" t="inlineStr">
        <is>
          <t>HR</t>
        </is>
      </c>
      <c r="F9" t="inlineStr">
        <is>
          <t>HR Manager</t>
        </is>
      </c>
      <c r="G9" s="1" t="n">
        <v>91000</v>
      </c>
      <c r="H9" s="5" t="inlineStr">
        <is>
          <t>2017-06-30</t>
        </is>
      </c>
      <c r="I9" s="6">
        <f>ROUNDDOWN((TODAY()-H9)/365.25,1)</f>
        <v/>
      </c>
      <c r="J9" t="inlineStr">
        <is>
          <t>A</t>
        </is>
      </c>
      <c r="K9">
        <f>IF(I9&lt;1,"New",IF(I9&lt;3,"Junior",IF(I9&lt;7,"Mid","Senior")))</f>
        <v/>
      </c>
      <c r="L9">
        <f>LOWER(CONCATENATE(LEFT(B9,1),C9,"@apexdynamics.com"))</f>
        <v/>
      </c>
    </row>
    <row r="10">
      <c r="A10" t="inlineStr">
        <is>
          <t>E006</t>
        </is>
      </c>
      <c r="B10" t="inlineStr">
        <is>
          <t>Thomas</t>
        </is>
      </c>
      <c r="C10" t="inlineStr">
        <is>
          <t>Schmidt</t>
        </is>
      </c>
      <c r="D10">
        <f>CONCATENATE(B10," ",C10)</f>
        <v/>
      </c>
      <c r="E10" t="inlineStr">
        <is>
          <t>Engineering</t>
        </is>
      </c>
      <c r="F10" t="inlineStr">
        <is>
          <t>Engineer</t>
        </is>
      </c>
      <c r="G10" s="1" t="n">
        <v>95000</v>
      </c>
      <c r="H10" s="5" t="inlineStr">
        <is>
          <t>2019-09-10</t>
        </is>
      </c>
      <c r="I10" s="6">
        <f>ROUNDDOWN((TODAY()-H10)/365.25,1)</f>
        <v/>
      </c>
      <c r="J10" t="inlineStr">
        <is>
          <t>B</t>
        </is>
      </c>
      <c r="K10">
        <f>IF(I10&lt;1,"New",IF(I10&lt;3,"Junior",IF(I10&lt;7,"Mid","Senior")))</f>
        <v/>
      </c>
      <c r="L10">
        <f>LOWER(CONCATENATE(LEFT(B10,1),C10,"@apexdynamics.com"))</f>
        <v/>
      </c>
    </row>
    <row r="11">
      <c r="A11" t="inlineStr">
        <is>
          <t>E007</t>
        </is>
      </c>
      <c r="B11" t="inlineStr">
        <is>
          <t>Mei</t>
        </is>
      </c>
      <c r="C11" t="inlineStr">
        <is>
          <t>Liu</t>
        </is>
      </c>
      <c r="D11">
        <f>CONCATENATE(B11," ",C11)</f>
        <v/>
      </c>
      <c r="E11" t="inlineStr">
        <is>
          <t>Finance</t>
        </is>
      </c>
      <c r="F11" t="inlineStr">
        <is>
          <t>Sr Analyst</t>
        </is>
      </c>
      <c r="G11" s="1" t="n">
        <v>78000</v>
      </c>
      <c r="H11" s="5" t="inlineStr">
        <is>
          <t>2022-01-15</t>
        </is>
      </c>
      <c r="I11" s="6">
        <f>ROUNDDOWN((TODAY()-H11)/365.25,1)</f>
        <v/>
      </c>
      <c r="J11" t="inlineStr">
        <is>
          <t>B</t>
        </is>
      </c>
      <c r="K11">
        <f>IF(I11&lt;1,"New",IF(I11&lt;3,"Junior",IF(I11&lt;7,"Mid","Senior")))</f>
        <v/>
      </c>
      <c r="L11">
        <f>LOWER(CONCATENATE(LEFT(B11,1),C11,"@apexdynamics.com"))</f>
        <v/>
      </c>
    </row>
    <row r="12">
      <c r="A12" t="inlineStr">
        <is>
          <t>E008</t>
        </is>
      </c>
      <c r="B12" t="inlineStr">
        <is>
          <t>Carlos</t>
        </is>
      </c>
      <c r="C12" t="inlineStr">
        <is>
          <t>Rivera</t>
        </is>
      </c>
      <c r="D12">
        <f>CONCATENATE(B12," ",C12)</f>
        <v/>
      </c>
      <c r="E12" t="inlineStr">
        <is>
          <t>Sales</t>
        </is>
      </c>
      <c r="F12" t="inlineStr">
        <is>
          <t>Sales Dir</t>
        </is>
      </c>
      <c r="G12" s="1" t="n">
        <v>125000</v>
      </c>
      <c r="H12" s="5" t="inlineStr">
        <is>
          <t>2016-04-05</t>
        </is>
      </c>
      <c r="I12" s="6">
        <f>ROUNDDOWN((TODAY()-H12)/365.25,1)</f>
        <v/>
      </c>
      <c r="J12" t="inlineStr">
        <is>
          <t>A</t>
        </is>
      </c>
      <c r="K12">
        <f>IF(I12&lt;1,"New",IF(I12&lt;3,"Junior",IF(I12&lt;7,"Mid","Senior")))</f>
        <v/>
      </c>
      <c r="L12">
        <f>LOWER(CONCATENATE(LEFT(B12,1),C12,"@apexdynamics.com"))</f>
        <v/>
      </c>
    </row>
    <row r="13">
      <c r="A13" t="inlineStr">
        <is>
          <t>E009</t>
        </is>
      </c>
      <c r="B13" t="inlineStr">
        <is>
          <t>Fatima</t>
        </is>
      </c>
      <c r="C13" t="inlineStr">
        <is>
          <t>Al-Hassan</t>
        </is>
      </c>
      <c r="D13">
        <f>CONCATENATE(B13," ",C13)</f>
        <v/>
      </c>
      <c r="E13" t="inlineStr">
        <is>
          <t>Engineering</t>
        </is>
      </c>
      <c r="F13" t="inlineStr">
        <is>
          <t>Principal Eng</t>
        </is>
      </c>
      <c r="G13" s="1" t="n">
        <v>158000</v>
      </c>
      <c r="H13" s="5" t="inlineStr">
        <is>
          <t>2013-08-22</t>
        </is>
      </c>
      <c r="I13" s="6">
        <f>ROUNDDOWN((TODAY()-H13)/365.25,1)</f>
        <v/>
      </c>
      <c r="J13" t="inlineStr">
        <is>
          <t>A</t>
        </is>
      </c>
      <c r="K13">
        <f>IF(I13&lt;1,"New",IF(I13&lt;3,"Junior",IF(I13&lt;7,"Mid","Senior")))</f>
        <v/>
      </c>
      <c r="L13">
        <f>LOWER(CONCATENATE(LEFT(B13,1),C13,"@apexdynamics.com"))</f>
        <v/>
      </c>
    </row>
    <row r="14">
      <c r="A14" t="inlineStr">
        <is>
          <t>E010</t>
        </is>
      </c>
      <c r="B14" t="inlineStr">
        <is>
          <t>Derek</t>
        </is>
      </c>
      <c r="C14" t="inlineStr">
        <is>
          <t>Thompson</t>
        </is>
      </c>
      <c r="D14">
        <f>CONCATENATE(B14," ",C14)</f>
        <v/>
      </c>
      <c r="E14" t="inlineStr">
        <is>
          <t>Marketing</t>
        </is>
      </c>
      <c r="F14" t="inlineStr">
        <is>
          <t>CMO</t>
        </is>
      </c>
      <c r="G14" s="1" t="n">
        <v>175000</v>
      </c>
      <c r="H14" s="5" t="inlineStr">
        <is>
          <t>2012-01-10</t>
        </is>
      </c>
      <c r="I14" s="6">
        <f>ROUNDDOWN((TODAY()-H14)/365.25,1)</f>
        <v/>
      </c>
      <c r="J14" t="inlineStr">
        <is>
          <t>A</t>
        </is>
      </c>
      <c r="K14">
        <f>IF(I14&lt;1,"New",IF(I14&lt;3,"Junior",IF(I14&lt;7,"Mid","Senior")))</f>
        <v/>
      </c>
      <c r="L14">
        <f>LOWER(CONCATENATE(LEFT(B14,1),C14,"@apexdynamics.com"))</f>
        <v/>
      </c>
    </row>
    <row r="15">
      <c r="A15" t="inlineStr">
        <is>
          <t>E011</t>
        </is>
      </c>
      <c r="B15" t="inlineStr">
        <is>
          <t>Yuki</t>
        </is>
      </c>
      <c r="C15" t="inlineStr">
        <is>
          <t>Tanaka</t>
        </is>
      </c>
      <c r="D15">
        <f>CONCATENATE(B15," ",C15)</f>
        <v/>
      </c>
      <c r="E15" t="inlineStr">
        <is>
          <t>Engineering</t>
        </is>
      </c>
      <c r="F15" t="inlineStr">
        <is>
          <t>Engineer</t>
        </is>
      </c>
      <c r="G15" s="1" t="n">
        <v>88000</v>
      </c>
      <c r="H15" s="5" t="inlineStr">
        <is>
          <t>2023-03-01</t>
        </is>
      </c>
      <c r="I15" s="6">
        <f>ROUNDDOWN((TODAY()-H15)/365.25,1)</f>
        <v/>
      </c>
      <c r="J15" t="inlineStr">
        <is>
          <t>C</t>
        </is>
      </c>
      <c r="K15">
        <f>IF(I15&lt;1,"New",IF(I15&lt;3,"Junior",IF(I15&lt;7,"Mid","Senior")))</f>
        <v/>
      </c>
      <c r="L15">
        <f>LOWER(CONCATENATE(LEFT(B15,1),C15,"@apexdynamics.com"))</f>
        <v/>
      </c>
    </row>
    <row r="16">
      <c r="A16" t="inlineStr">
        <is>
          <t>E012</t>
        </is>
      </c>
      <c r="B16" t="inlineStr">
        <is>
          <t>Bria</t>
        </is>
      </c>
      <c r="C16" t="inlineStr">
        <is>
          <t>Foster</t>
        </is>
      </c>
      <c r="D16">
        <f>CONCATENATE(B16," ",C16)</f>
        <v/>
      </c>
      <c r="E16" t="inlineStr">
        <is>
          <t>HR</t>
        </is>
      </c>
      <c r="F16" t="inlineStr">
        <is>
          <t>Recruiter</t>
        </is>
      </c>
      <c r="G16" s="1" t="n">
        <v>62000</v>
      </c>
      <c r="H16" s="5" t="inlineStr">
        <is>
          <t>2022-11-15</t>
        </is>
      </c>
      <c r="I16" s="6">
        <f>ROUNDDOWN((TODAY()-H16)/365.25,1)</f>
        <v/>
      </c>
      <c r="J16" t="inlineStr">
        <is>
          <t>C</t>
        </is>
      </c>
      <c r="K16">
        <f>IF(I16&lt;1,"New",IF(I16&lt;3,"Junior",IF(I16&lt;7,"Mid","Senior")))</f>
        <v/>
      </c>
      <c r="L16">
        <f>LOWER(CONCATENATE(LEFT(B16,1),C16,"@apexdynamics.com"))</f>
        <v/>
      </c>
    </row>
    <row r="17">
      <c r="A17" t="inlineStr">
        <is>
          <t>E013</t>
        </is>
      </c>
      <c r="B17" t="inlineStr">
        <is>
          <t>Liam</t>
        </is>
      </c>
      <c r="C17" t="inlineStr">
        <is>
          <t>Murphy</t>
        </is>
      </c>
      <c r="D17">
        <f>CONCATENATE(B17," ",C17)</f>
        <v/>
      </c>
      <c r="E17" t="inlineStr">
        <is>
          <t>Sales</t>
        </is>
      </c>
      <c r="F17" t="inlineStr">
        <is>
          <t>Account Exec</t>
        </is>
      </c>
      <c r="G17" s="1" t="n">
        <v>79000</v>
      </c>
      <c r="H17" s="5" t="inlineStr">
        <is>
          <t>2021-05-20</t>
        </is>
      </c>
      <c r="I17" s="6">
        <f>ROUNDDOWN((TODAY()-H17)/365.25,1)</f>
        <v/>
      </c>
      <c r="J17" t="inlineStr">
        <is>
          <t>B</t>
        </is>
      </c>
      <c r="K17">
        <f>IF(I17&lt;1,"New",IF(I17&lt;3,"Junior",IF(I17&lt;7,"Mid","Senior")))</f>
        <v/>
      </c>
      <c r="L17">
        <f>LOWER(CONCATENATE(LEFT(B17,1),C17,"@apexdynamics.com"))</f>
        <v/>
      </c>
    </row>
    <row r="18">
      <c r="A18" t="inlineStr">
        <is>
          <t>E014</t>
        </is>
      </c>
      <c r="B18" t="inlineStr">
        <is>
          <t>Nadia</t>
        </is>
      </c>
      <c r="C18" t="inlineStr">
        <is>
          <t>Volkov</t>
        </is>
      </c>
      <c r="D18">
        <f>CONCATENATE(B18," ",C18)</f>
        <v/>
      </c>
      <c r="E18" t="inlineStr">
        <is>
          <t>Engineering</t>
        </is>
      </c>
      <c r="F18" t="inlineStr">
        <is>
          <t>Sr Engineer</t>
        </is>
      </c>
      <c r="G18" s="1" t="n">
        <v>119000</v>
      </c>
      <c r="H18" s="5" t="inlineStr">
        <is>
          <t>2018-08-08</t>
        </is>
      </c>
      <c r="I18" s="6">
        <f>ROUNDDOWN((TODAY()-H18)/365.25,1)</f>
        <v/>
      </c>
      <c r="J18" t="inlineStr">
        <is>
          <t>A</t>
        </is>
      </c>
      <c r="K18">
        <f>IF(I18&lt;1,"New",IF(I18&lt;3,"Junior",IF(I18&lt;7,"Mid","Senior")))</f>
        <v/>
      </c>
      <c r="L18">
        <f>LOWER(CONCATENATE(LEFT(B18,1),C18,"@apexdynamics.com"))</f>
        <v/>
      </c>
    </row>
    <row r="19">
      <c r="A19" t="inlineStr">
        <is>
          <t>E015</t>
        </is>
      </c>
      <c r="B19" t="inlineStr">
        <is>
          <t>Jerome</t>
        </is>
      </c>
      <c r="C19" t="inlineStr">
        <is>
          <t>Banks</t>
        </is>
      </c>
      <c r="D19">
        <f>CONCATENATE(B19," ",C19)</f>
        <v/>
      </c>
      <c r="E19" t="inlineStr">
        <is>
          <t>Finance</t>
        </is>
      </c>
      <c r="F19" t="inlineStr">
        <is>
          <t>VP Finance</t>
        </is>
      </c>
      <c r="G19" s="1" t="n">
        <v>145000</v>
      </c>
      <c r="H19" s="5" t="inlineStr">
        <is>
          <t>2014-10-12</t>
        </is>
      </c>
      <c r="I19" s="6">
        <f>ROUNDDOWN((TODAY()-H19)/365.25,1)</f>
        <v/>
      </c>
      <c r="J19" t="inlineStr">
        <is>
          <t>A</t>
        </is>
      </c>
      <c r="K19">
        <f>IF(I19&lt;1,"New",IF(I19&lt;3,"Junior",IF(I19&lt;7,"Mid","Senior")))</f>
        <v/>
      </c>
      <c r="L19">
        <f>LOWER(CONCATENATE(LEFT(B19,1),C19,"@apexdynamics.com"))</f>
        <v/>
      </c>
    </row>
    <row r="20">
      <c r="A20" t="inlineStr">
        <is>
          <t>E016</t>
        </is>
      </c>
      <c r="B20" t="inlineStr">
        <is>
          <t>Ingrid</t>
        </is>
      </c>
      <c r="C20" t="inlineStr">
        <is>
          <t>Larsson</t>
        </is>
      </c>
      <c r="D20">
        <f>CONCATENATE(B20," ",C20)</f>
        <v/>
      </c>
      <c r="E20" t="inlineStr">
        <is>
          <t>Marketing</t>
        </is>
      </c>
      <c r="F20" t="inlineStr">
        <is>
          <t>Designer</t>
        </is>
      </c>
      <c r="G20" s="1" t="n">
        <v>72000</v>
      </c>
      <c r="H20" s="5" t="inlineStr">
        <is>
          <t>2020-07-22</t>
        </is>
      </c>
      <c r="I20" s="6">
        <f>ROUNDDOWN((TODAY()-H20)/365.25,1)</f>
        <v/>
      </c>
      <c r="J20" t="inlineStr">
        <is>
          <t>B</t>
        </is>
      </c>
      <c r="K20">
        <f>IF(I20&lt;1,"New",IF(I20&lt;3,"Junior",IF(I20&lt;7,"Mid","Senior")))</f>
        <v/>
      </c>
      <c r="L20">
        <f>LOWER(CONCATENATE(LEFT(B20,1),C20,"@apexdynamics.com"))</f>
        <v/>
      </c>
    </row>
    <row r="21">
      <c r="A21" t="inlineStr">
        <is>
          <t>E017</t>
        </is>
      </c>
      <c r="B21" t="inlineStr">
        <is>
          <t>Hassan</t>
        </is>
      </c>
      <c r="C21" t="inlineStr">
        <is>
          <t>Ibrahim</t>
        </is>
      </c>
      <c r="D21">
        <f>CONCATENATE(B21," ",C21)</f>
        <v/>
      </c>
      <c r="E21" t="inlineStr">
        <is>
          <t>Engineering</t>
        </is>
      </c>
      <c r="F21" t="inlineStr">
        <is>
          <t>Engineer</t>
        </is>
      </c>
      <c r="G21" s="1" t="n">
        <v>91000</v>
      </c>
      <c r="H21" s="5" t="inlineStr">
        <is>
          <t>2021-12-01</t>
        </is>
      </c>
      <c r="I21" s="6">
        <f>ROUNDDOWN((TODAY()-H21)/365.25,1)</f>
        <v/>
      </c>
      <c r="J21" t="inlineStr">
        <is>
          <t>B</t>
        </is>
      </c>
      <c r="K21">
        <f>IF(I21&lt;1,"New",IF(I21&lt;3,"Junior",IF(I21&lt;7,"Mid","Senior")))</f>
        <v/>
      </c>
      <c r="L21">
        <f>LOWER(CONCATENATE(LEFT(B21,1),C21,"@apexdynamics.com"))</f>
        <v/>
      </c>
    </row>
    <row r="22">
      <c r="A22" t="inlineStr">
        <is>
          <t>E018</t>
        </is>
      </c>
      <c r="B22" t="inlineStr">
        <is>
          <t>Sophie</t>
        </is>
      </c>
      <c r="C22" t="inlineStr">
        <is>
          <t>Martin</t>
        </is>
      </c>
      <c r="D22">
        <f>CONCATENATE(B22," ",C22)</f>
        <v/>
      </c>
      <c r="E22" t="inlineStr">
        <is>
          <t>Sales</t>
        </is>
      </c>
      <c r="F22" t="inlineStr">
        <is>
          <t>Sales Mgr</t>
        </is>
      </c>
      <c r="G22" s="1" t="n">
        <v>105000</v>
      </c>
      <c r="H22" s="5" t="inlineStr">
        <is>
          <t>2017-09-15</t>
        </is>
      </c>
      <c r="I22" s="6">
        <f>ROUNDDOWN((TODAY()-H22)/365.25,1)</f>
        <v/>
      </c>
      <c r="J22" t="inlineStr">
        <is>
          <t>A</t>
        </is>
      </c>
      <c r="K22">
        <f>IF(I22&lt;1,"New",IF(I22&lt;3,"Junior",IF(I22&lt;7,"Mid","Senior")))</f>
        <v/>
      </c>
      <c r="L22">
        <f>LOWER(CONCATENATE(LEFT(B22,1),C22,"@apexdynamics.com"))</f>
        <v/>
      </c>
    </row>
    <row r="23">
      <c r="A23" t="inlineStr">
        <is>
          <t>E019</t>
        </is>
      </c>
      <c r="B23" t="inlineStr">
        <is>
          <t>Kevin</t>
        </is>
      </c>
      <c r="C23" t="inlineStr">
        <is>
          <t>Park</t>
        </is>
      </c>
      <c r="D23">
        <f>CONCATENATE(B23," ",C23)</f>
        <v/>
      </c>
      <c r="E23" t="inlineStr">
        <is>
          <t>Engineering</t>
        </is>
      </c>
      <c r="F23" t="inlineStr">
        <is>
          <t>DevOps Eng</t>
        </is>
      </c>
      <c r="G23" s="1" t="n">
        <v>97000</v>
      </c>
      <c r="H23" s="5" t="inlineStr">
        <is>
          <t>2019-04-30</t>
        </is>
      </c>
      <c r="I23" s="6">
        <f>ROUNDDOWN((TODAY()-H23)/365.25,1)</f>
        <v/>
      </c>
      <c r="J23" t="inlineStr">
        <is>
          <t>B</t>
        </is>
      </c>
      <c r="K23">
        <f>IF(I23&lt;1,"New",IF(I23&lt;3,"Junior",IF(I23&lt;7,"Mid","Senior")))</f>
        <v/>
      </c>
      <c r="L23">
        <f>LOWER(CONCATENATE(LEFT(B23,1),C23,"@apexdynamics.com"))</f>
        <v/>
      </c>
    </row>
    <row r="24">
      <c r="A24" t="inlineStr">
        <is>
          <t>E020</t>
        </is>
      </c>
      <c r="B24" t="inlineStr">
        <is>
          <t>Amara</t>
        </is>
      </c>
      <c r="C24" t="inlineStr">
        <is>
          <t>Diallo</t>
        </is>
      </c>
      <c r="D24">
        <f>CONCATENATE(B24," ",C24)</f>
        <v/>
      </c>
      <c r="E24" t="inlineStr">
        <is>
          <t>Marketing</t>
        </is>
      </c>
      <c r="F24" t="inlineStr">
        <is>
          <t>Analyst</t>
        </is>
      </c>
      <c r="G24" s="1" t="n">
        <v>65000</v>
      </c>
      <c r="H24" s="5" t="inlineStr">
        <is>
          <t>2023-06-12</t>
        </is>
      </c>
      <c r="I24" s="6">
        <f>ROUNDDOWN((TODAY()-H24)/365.25,1)</f>
        <v/>
      </c>
      <c r="J24" t="inlineStr">
        <is>
          <t>C</t>
        </is>
      </c>
      <c r="K24">
        <f>IF(I24&lt;1,"New",IF(I24&lt;3,"Junior",IF(I24&lt;7,"Mid","Senior")))</f>
        <v/>
      </c>
      <c r="L24">
        <f>LOWER(CONCATENATE(LEFT(B24,1),C24,"@apexdynamics.com"))</f>
        <v/>
      </c>
    </row>
    <row r="25"/>
    <row r="26">
      <c r="A26" t="inlineStr">
        <is>
          <t>WORKFORCE ANALYTICS</t>
        </is>
      </c>
    </row>
    <row r="27">
      <c r="A27" t="inlineStr">
        <is>
          <t>Metric</t>
        </is>
      </c>
      <c r="B27" t="inlineStr">
        <is>
          <t>Value</t>
        </is>
      </c>
      <c r="C27" t="inlineStr">
        <is>
          <t>Formula</t>
        </is>
      </c>
      <c r="D27" t="inlineStr">
        <is>
          <t>Scope</t>
        </is>
      </c>
    </row>
    <row r="28">
      <c r="A28" t="inlineStr">
        <is>
          <t>Total Headcount</t>
        </is>
      </c>
      <c r="B28">
        <f>COUNTA(A5:A24)</f>
        <v/>
      </c>
      <c r="C28" t="inlineStr">
        <is>
          <t>COUNTA</t>
        </is>
      </c>
      <c r="D28" t="inlineStr">
        <is>
          <t>All employees</t>
        </is>
      </c>
    </row>
    <row r="29">
      <c r="A29" t="inlineStr">
        <is>
          <t>Total Salary Bill</t>
        </is>
      </c>
      <c r="B29" s="1">
        <f>SUM(G5:G24)</f>
        <v/>
      </c>
      <c r="C29" t="inlineStr">
        <is>
          <t>SUM</t>
        </is>
      </c>
      <c r="D29" t="inlineStr">
        <is>
          <t>Annual</t>
        </is>
      </c>
    </row>
    <row r="30">
      <c r="A30" t="inlineStr">
        <is>
          <t>Average Salary</t>
        </is>
      </c>
      <c r="B30" s="1">
        <f>AVERAGE(G5:G24)</f>
        <v/>
      </c>
      <c r="C30" t="inlineStr">
        <is>
          <t>AVERAGE</t>
        </is>
      </c>
      <c r="D30" t="inlineStr">
        <is>
          <t>Per employee</t>
        </is>
      </c>
    </row>
    <row r="31">
      <c r="A31" t="inlineStr">
        <is>
          <t>Salary Std Dev</t>
        </is>
      </c>
      <c r="B31">
        <f>STDEV(G5:G24)</f>
        <v/>
      </c>
      <c r="C31" t="inlineStr">
        <is>
          <t>STDEV</t>
        </is>
      </c>
      <c r="D31" t="inlineStr">
        <is>
          <t>Spread</t>
        </is>
      </c>
    </row>
    <row r="32">
      <c r="A32" t="inlineStr">
        <is>
          <t>Highest Salary</t>
        </is>
      </c>
      <c r="B32" s="1">
        <f>MAX(G5:G24)</f>
        <v/>
      </c>
      <c r="C32" t="inlineStr">
        <is>
          <t>MAX</t>
        </is>
      </c>
      <c r="D32" t="inlineStr">
        <is>
          <t>Top earner</t>
        </is>
      </c>
    </row>
    <row r="33">
      <c r="A33" t="inlineStr">
        <is>
          <t>Lowest Salary</t>
        </is>
      </c>
      <c r="B33" s="1">
        <f>MIN(G5:G24)</f>
        <v/>
      </c>
      <c r="C33" t="inlineStr">
        <is>
          <t>MIN</t>
        </is>
      </c>
      <c r="D33" t="inlineStr">
        <is>
          <t>Entry level</t>
        </is>
      </c>
    </row>
    <row r="34">
      <c r="A34" t="inlineStr">
        <is>
          <t>Engineering Count</t>
        </is>
      </c>
      <c r="B34" s="2">
        <f>COUNTIF(E5:E24,"Engineering")</f>
        <v/>
      </c>
      <c r="C34" t="inlineStr">
        <is>
          <t>COUNTIF</t>
        </is>
      </c>
      <c r="D34" t="inlineStr">
        <is>
          <t>Dept filter</t>
        </is>
      </c>
    </row>
    <row r="35">
      <c r="A35" t="inlineStr">
        <is>
          <t>Avg Eng Salary</t>
        </is>
      </c>
      <c r="B35" s="1">
        <f>IFERROR(SUMPRODUCT((E5:E24="Engineering")*G5:G24)/COUNTIF(E5:E24,"Engineering"),0)</f>
        <v/>
      </c>
      <c r="C35" t="inlineStr">
        <is>
          <t>SUMPRODUCT/COUNTIF</t>
        </is>
      </c>
      <c r="D35" t="inlineStr">
        <is>
          <t>Dept average</t>
        </is>
      </c>
    </row>
    <row r="36">
      <c r="A36" t="inlineStr">
        <is>
          <t>Grade A Count</t>
        </is>
      </c>
      <c r="B36" s="2">
        <f>COUNTIF(J5:J24,"A")</f>
        <v/>
      </c>
      <c r="C36" t="inlineStr">
        <is>
          <t>COUNTIF</t>
        </is>
      </c>
      <c r="D36" t="inlineStr">
        <is>
          <t>Grade A only</t>
        </is>
      </c>
    </row>
    <row r="37">
      <c r="A37" t="inlineStr">
        <is>
          <t>Senior Employees</t>
        </is>
      </c>
      <c r="B37">
        <f>COUNTIF(K5:K24,"Senior")</f>
        <v/>
      </c>
      <c r="C37" t="inlineStr">
        <is>
          <t>COUNTIF</t>
        </is>
      </c>
      <c r="D37" t="inlineStr">
        <is>
          <t>Status=Senior</t>
        </is>
      </c>
    </row>
    <row r="38">
      <c r="A38" t="inlineStr">
        <is>
          <t>Avg Tenure (Yrs)</t>
        </is>
      </c>
      <c r="B38" s="6">
        <f>ROUND(AVERAGE(I5:I24),1)</f>
        <v/>
      </c>
      <c r="C38" t="inlineStr">
        <is>
          <t>ROUND+AVERAGE</t>
        </is>
      </c>
      <c r="D38" t="inlineStr">
        <is>
          <t>All employees</t>
        </is>
      </c>
    </row>
    <row r="39">
      <c r="A39" t="inlineStr">
        <is>
          <t>Count with Email</t>
        </is>
      </c>
      <c r="B39" s="2">
        <f>COUNTA(L5:L24)</f>
        <v/>
      </c>
      <c r="C39" t="inlineStr">
        <is>
          <t>COUNTA</t>
        </is>
      </c>
      <c r="D39" t="inlineStr">
        <is>
          <t>Email populated</t>
        </is>
      </c>
    </row>
    <row r="40">
      <c r="A40" t="inlineStr">
        <is>
          <t>Salary RANK #1</t>
        </is>
      </c>
      <c r="B40">
        <f>IFERROR(INDEX(D5:D24,MATCH(1,RANK(G5:G24,G5:G24,0),0)),"N/A")</f>
        <v/>
      </c>
      <c r="C40" t="inlineStr">
        <is>
          <t>INDEX+MATCH+RANK</t>
        </is>
      </c>
      <c r="D40" t="inlineStr">
        <is>
          <t>Top salary name</t>
        </is>
      </c>
    </row>
    <row r="41">
      <c r="A41" t="inlineStr">
        <is>
          <t>Columns in Table</t>
        </is>
      </c>
      <c r="B41">
        <f>COLUMNS(A4:L4)</f>
        <v/>
      </c>
      <c r="C41" t="inlineStr">
        <is>
          <t>COLUMNS</t>
        </is>
      </c>
      <c r="D41" t="inlineStr">
        <is>
          <t>Field count</t>
        </is>
      </c>
    </row>
    <row r="42">
      <c r="A42" t="inlineStr">
        <is>
          <t>Count Non-Blank IDs</t>
        </is>
      </c>
      <c r="B42" s="2">
        <f>COUNT(IF(ISTEXT(A5:A24),1))</f>
        <v/>
      </c>
      <c r="C42" t="inlineStr">
        <is>
          <t>COUNT+IF+ISTEXT</t>
        </is>
      </c>
      <c r="D42" t="inlineStr">
        <is>
          <t>Array formula proxy</t>
        </is>
      </c>
    </row>
  </sheetData>
  <mergeCells count="2">
    <mergeCell ref="A3:L3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🔍  Product Catalog — VLOOKUP / XLOOKUP / HLOOKUP / INDEX-MATCH</t>
        </is>
      </c>
    </row>
    <row r="2"/>
    <row r="3">
      <c r="A3" t="inlineStr">
        <is>
          <t>PRODUCT MASTER TABLE</t>
        </is>
      </c>
      <c r="J3" t="inlineStr">
        <is>
          <t>DYNAMIC LOOKUP PANEL</t>
        </is>
      </c>
    </row>
    <row r="4">
      <c r="A4" t="inlineStr">
        <is>
          <t>SKU</t>
        </is>
      </c>
      <c r="B4" t="inlineStr">
        <is>
          <t>Product Name</t>
        </is>
      </c>
      <c r="C4" t="inlineStr">
        <is>
          <t>Category</t>
        </is>
      </c>
      <c r="D4" t="inlineStr">
        <is>
          <t>Subcategory</t>
        </is>
      </c>
      <c r="E4" t="inlineStr">
        <is>
          <t>List Price</t>
        </is>
      </c>
      <c r="F4" t="inlineStr">
        <is>
          <t>Cost</t>
        </is>
      </c>
      <c r="G4" t="inlineStr">
        <is>
          <t>Margin $</t>
        </is>
      </c>
      <c r="H4" t="inlineStr">
        <is>
          <t>Margin %</t>
        </is>
      </c>
      <c r="J4" t="inlineStr">
        <is>
          <t>Lookup Field</t>
        </is>
      </c>
      <c r="K4" t="inlineStr">
        <is>
          <t>Input</t>
        </is>
      </c>
      <c r="L4" t="inlineStr">
        <is>
          <t>Result</t>
        </is>
      </c>
      <c r="M4" t="inlineStr">
        <is>
          <t>Formula Type</t>
        </is>
      </c>
      <c r="N4" t="inlineStr">
        <is>
          <t>Notes</t>
        </is>
      </c>
    </row>
    <row r="5">
      <c r="A5" t="inlineStr">
        <is>
          <t>PRD-001</t>
        </is>
      </c>
      <c r="B5" t="inlineStr">
        <is>
          <t>Cloud Suite Pro</t>
        </is>
      </c>
      <c r="C5" t="inlineStr">
        <is>
          <t>Software</t>
        </is>
      </c>
      <c r="D5" t="inlineStr">
        <is>
          <t>SaaS</t>
        </is>
      </c>
      <c r="E5" s="7" t="n">
        <v>1499</v>
      </c>
      <c r="F5" s="7" t="n">
        <v>180</v>
      </c>
      <c r="G5" s="7">
        <f>E5-F5</f>
        <v/>
      </c>
      <c r="H5" s="3">
        <f>IFERROR(G5/E5,0)</f>
        <v/>
      </c>
      <c r="J5" t="inlineStr">
        <is>
          <t>Lookup SKU ↑</t>
        </is>
      </c>
      <c r="K5" t="inlineStr">
        <is>
          <t>PRD-008</t>
        </is>
      </c>
    </row>
    <row r="6">
      <c r="A6" t="inlineStr">
        <is>
          <t>PRD-002</t>
        </is>
      </c>
      <c r="B6" t="inlineStr">
        <is>
          <t>DataCore Analytics</t>
        </is>
      </c>
      <c r="C6" t="inlineStr">
        <is>
          <t>Software</t>
        </is>
      </c>
      <c r="D6" t="inlineStr">
        <is>
          <t>Analytics</t>
        </is>
      </c>
      <c r="E6" s="7" t="n">
        <v>899</v>
      </c>
      <c r="F6" s="7" t="n">
        <v>120</v>
      </c>
      <c r="G6" s="7">
        <f>E6-F6</f>
        <v/>
      </c>
      <c r="H6" s="3">
        <f>IFERROR(G6/E6,0)</f>
        <v/>
      </c>
      <c r="J6" t="inlineStr">
        <is>
          <t>Product Name (VLOOKUP)</t>
        </is>
      </c>
      <c r="K6">
        <f>IFERROR(VLOOKUP($K$5,$A$5:$H$19,2,FALSE),"Not found")</f>
        <v/>
      </c>
      <c r="L6" t="inlineStr">
        <is>
          <t>VLOOKUP</t>
        </is>
      </c>
      <c r="M6" t="inlineStr">
        <is>
          <t>Exact match col 2</t>
        </is>
      </c>
    </row>
    <row r="7">
      <c r="A7" t="inlineStr">
        <is>
          <t>PRD-003</t>
        </is>
      </c>
      <c r="B7" t="inlineStr">
        <is>
          <t>SecureEdge Gateway</t>
        </is>
      </c>
      <c r="C7" t="inlineStr">
        <is>
          <t>Hardware</t>
        </is>
      </c>
      <c r="D7" t="inlineStr">
        <is>
          <t>Network</t>
        </is>
      </c>
      <c r="E7" s="7" t="n">
        <v>2299</v>
      </c>
      <c r="F7" s="7" t="n">
        <v>890</v>
      </c>
      <c r="G7" s="7">
        <f>E7-F7</f>
        <v/>
      </c>
      <c r="H7" s="3">
        <f>IFERROR(G7/E7,0)</f>
        <v/>
      </c>
      <c r="J7" t="inlineStr">
        <is>
          <t>Category (XLOOKUP)</t>
        </is>
      </c>
      <c r="K7">
        <f>IFERROR(_xludf.XLOOKUP($K$5,$A$5:$A$19,$C$5:$C$19,"Not found"),"Err")</f>
        <v/>
      </c>
      <c r="L7" t="inlineStr">
        <is>
          <t>XLOOKUP</t>
        </is>
      </c>
      <c r="M7" t="inlineStr">
        <is>
          <t>Modern lookup</t>
        </is>
      </c>
    </row>
    <row r="8">
      <c r="A8" t="inlineStr">
        <is>
          <t>PRD-004</t>
        </is>
      </c>
      <c r="B8" t="inlineStr">
        <is>
          <t>MobileForce Platform</t>
        </is>
      </c>
      <c r="C8" t="inlineStr">
        <is>
          <t>Software</t>
        </is>
      </c>
      <c r="D8" t="inlineStr">
        <is>
          <t>Mobile</t>
        </is>
      </c>
      <c r="E8" s="7" t="n">
        <v>649</v>
      </c>
      <c r="F8" s="7" t="n">
        <v>75</v>
      </c>
      <c r="G8" s="7">
        <f>E8-F8</f>
        <v/>
      </c>
      <c r="H8" s="3">
        <f>IFERROR(G8/E8,0)</f>
        <v/>
      </c>
      <c r="J8" t="inlineStr">
        <is>
          <t>List Price (INDEX/MATCH)</t>
        </is>
      </c>
      <c r="K8" s="7">
        <f>IFERROR(INDEX($E$5:$E$19,MATCH($K$5,$A$5:$A$19,0)),"N/A")</f>
        <v/>
      </c>
      <c r="L8" t="inlineStr">
        <is>
          <t>INDEX+MATCH</t>
        </is>
      </c>
      <c r="M8" t="inlineStr">
        <is>
          <t>Flexible</t>
        </is>
      </c>
    </row>
    <row r="9">
      <c r="A9" t="inlineStr">
        <is>
          <t>PRD-005</t>
        </is>
      </c>
      <c r="B9" t="inlineStr">
        <is>
          <t>Apex Server X1</t>
        </is>
      </c>
      <c r="C9" t="inlineStr">
        <is>
          <t>Hardware</t>
        </is>
      </c>
      <c r="D9" t="inlineStr">
        <is>
          <t>Compute</t>
        </is>
      </c>
      <c r="E9" s="7" t="n">
        <v>8499</v>
      </c>
      <c r="F9" s="7" t="n">
        <v>4200</v>
      </c>
      <c r="G9" s="7">
        <f>E9-F9</f>
        <v/>
      </c>
      <c r="H9" s="3">
        <f>IFERROR(G9/E9,0)</f>
        <v/>
      </c>
      <c r="J9" t="inlineStr">
        <is>
          <t>Margin % (XLOOKUP)</t>
        </is>
      </c>
      <c r="K9" s="3">
        <f>IFERROR(_xludf.XLOOKUP($K$5,$A$5:$A$19,$H$5:$H$19,NA()),"N/A")</f>
        <v/>
      </c>
      <c r="L9" t="inlineStr">
        <is>
          <t>XLOOKUP+NA</t>
        </is>
      </c>
      <c r="M9" t="inlineStr">
        <is>
          <t>Returns NA if missing</t>
        </is>
      </c>
    </row>
    <row r="10">
      <c r="A10" t="inlineStr">
        <is>
          <t>PRD-006</t>
        </is>
      </c>
      <c r="B10" t="inlineStr">
        <is>
          <t>StorageVault 10TB</t>
        </is>
      </c>
      <c r="C10" t="inlineStr">
        <is>
          <t>Hardware</t>
        </is>
      </c>
      <c r="D10" t="inlineStr">
        <is>
          <t>Storage</t>
        </is>
      </c>
      <c r="E10" s="7" t="n">
        <v>1199</v>
      </c>
      <c r="F10" s="7" t="n">
        <v>450</v>
      </c>
      <c r="G10" s="7">
        <f>E10-F10</f>
        <v/>
      </c>
      <c r="H10" s="3">
        <f>IFERROR(G10/E10,0)</f>
        <v/>
      </c>
      <c r="J10" t="inlineStr">
        <is>
          <t>SKU Found? (ISNUMBER)</t>
        </is>
      </c>
      <c r="K10">
        <f>IF(ISNUMBER(MATCH($K$5,$A$5:$A$19,0)),"✔ Found","✘ Missing")</f>
        <v/>
      </c>
      <c r="L10" t="inlineStr">
        <is>
          <t>ISNUMBER+MATCH</t>
        </is>
      </c>
      <c r="M10" t="inlineStr">
        <is>
          <t>Existence check</t>
        </is>
      </c>
    </row>
    <row r="11">
      <c r="A11" t="inlineStr">
        <is>
          <t>PRD-007</t>
        </is>
      </c>
      <c r="B11" t="inlineStr">
        <is>
          <t>API Connect Hub</t>
        </is>
      </c>
      <c r="C11" t="inlineStr">
        <is>
          <t>Software</t>
        </is>
      </c>
      <c r="D11" t="inlineStr">
        <is>
          <t>Integration</t>
        </is>
      </c>
      <c r="E11" s="7" t="n">
        <v>399</v>
      </c>
      <c r="F11" s="7" t="n">
        <v>40</v>
      </c>
      <c r="G11" s="7">
        <f>E11-F11</f>
        <v/>
      </c>
      <c r="H11" s="3">
        <f>IFERROR(G11/E11,0)</f>
        <v/>
      </c>
      <c r="J11" t="inlineStr">
        <is>
          <t>Row # of SKU</t>
        </is>
      </c>
      <c r="K11" s="2">
        <f>IFERROR(MATCH($K$5,$A$5:$A$19,0)+4,"N/A")</f>
        <v/>
      </c>
      <c r="L11" t="inlineStr">
        <is>
          <t>MATCH</t>
        </is>
      </c>
      <c r="M11" t="inlineStr">
        <is>
          <t>Absolute row</t>
        </is>
      </c>
    </row>
    <row r="12">
      <c r="A12" t="inlineStr">
        <is>
          <t>PRD-008</t>
        </is>
      </c>
      <c r="B12" t="inlineStr">
        <is>
          <t>AI Insights Engine</t>
        </is>
      </c>
      <c r="C12" t="inlineStr">
        <is>
          <t>Software</t>
        </is>
      </c>
      <c r="D12" t="inlineStr">
        <is>
          <t>AI/ML</t>
        </is>
      </c>
      <c r="E12" s="7" t="n">
        <v>3999</v>
      </c>
      <c r="F12" s="7" t="n">
        <v>500</v>
      </c>
      <c r="G12" s="7">
        <f>E12-F12</f>
        <v/>
      </c>
      <c r="H12" s="3">
        <f>IFERROR(G12/E12,0)</f>
        <v/>
      </c>
      <c r="J12" t="inlineStr">
        <is>
          <t>IFNA Demo</t>
        </is>
      </c>
      <c r="K12">
        <f>_xludf.IFNA(VLOOKUP("ZZZZ",$A$5:$H$19,2,FALSE),"No such SKU")</f>
        <v/>
      </c>
      <c r="L12" t="inlineStr">
        <is>
          <t>IFNA</t>
        </is>
      </c>
      <c r="M12" t="inlineStr">
        <is>
          <t>Returns custom on NA</t>
        </is>
      </c>
    </row>
    <row r="13">
      <c r="A13" t="inlineStr">
        <is>
          <t>PRD-009</t>
        </is>
      </c>
      <c r="B13" t="inlineStr">
        <is>
          <t>HyperSwitch 48P</t>
        </is>
      </c>
      <c r="C13" t="inlineStr">
        <is>
          <t>Hardware</t>
        </is>
      </c>
      <c r="D13" t="inlineStr">
        <is>
          <t>Network</t>
        </is>
      </c>
      <c r="E13" s="7" t="n">
        <v>4599</v>
      </c>
      <c r="F13" s="7" t="n">
        <v>1800</v>
      </c>
      <c r="G13" s="7">
        <f>E13-F13</f>
        <v/>
      </c>
      <c r="H13" s="3">
        <f>IFERROR(G13/E13,0)</f>
        <v/>
      </c>
      <c r="J13" t="inlineStr">
        <is>
          <t>ISERROR Check</t>
        </is>
      </c>
      <c r="K13">
        <f>IF(ISERROR(VLOOKUP($K$5,$A$5:$A$19,1,FALSE)),"Error","OK")</f>
        <v/>
      </c>
      <c r="L13" t="inlineStr">
        <is>
          <t>ISERROR</t>
        </is>
      </c>
      <c r="M13" t="inlineStr">
        <is>
          <t>Generic error trap</t>
        </is>
      </c>
    </row>
    <row r="14">
      <c r="A14" t="inlineStr">
        <is>
          <t>PRD-010</t>
        </is>
      </c>
      <c r="B14" t="inlineStr">
        <is>
          <t>DevOps Pipeline</t>
        </is>
      </c>
      <c r="C14" t="inlineStr">
        <is>
          <t>Software</t>
        </is>
      </c>
      <c r="D14" t="inlineStr">
        <is>
          <t>DevOps</t>
        </is>
      </c>
      <c r="E14" s="7" t="n">
        <v>799</v>
      </c>
      <c r="F14" s="7" t="n">
        <v>90</v>
      </c>
      <c r="G14" s="7">
        <f>E14-F14</f>
        <v/>
      </c>
      <c r="H14" s="3">
        <f>IFERROR(G14/E14,0)</f>
        <v/>
      </c>
      <c r="J14" t="inlineStr">
        <is>
          <t>Address of Match</t>
        </is>
      </c>
      <c r="K14">
        <f>IFERROR(ADDRESS(MATCH($K$5,$A$5:$A$19,0)+4,1,1),"N/A")</f>
        <v/>
      </c>
      <c r="L14" t="inlineStr">
        <is>
          <t>ADDRESS+MATCH</t>
        </is>
      </c>
      <c r="M14" t="inlineStr">
        <is>
          <t>Returns cell addr</t>
        </is>
      </c>
    </row>
    <row r="15">
      <c r="A15" t="inlineStr">
        <is>
          <t>PRD-011</t>
        </is>
      </c>
      <c r="B15" t="inlineStr">
        <is>
          <t>Backup Manager</t>
        </is>
      </c>
      <c r="C15" t="inlineStr">
        <is>
          <t>Software</t>
        </is>
      </c>
      <c r="D15" t="inlineStr">
        <is>
          <t>Data Mgmt</t>
        </is>
      </c>
      <c r="E15" s="7" t="n">
        <v>299</v>
      </c>
      <c r="F15" s="7" t="n">
        <v>35</v>
      </c>
      <c r="G15" s="7">
        <f>E15-F15</f>
        <v/>
      </c>
      <c r="H15" s="3">
        <f>IFERROR(G15/E15,0)</f>
        <v/>
      </c>
      <c r="J15" t="inlineStr">
        <is>
          <t>HLOOKUP Avg SW Price</t>
        </is>
      </c>
      <c r="K15" s="7">
        <f>IFERROR(HLOOKUP("Software",B23:H26,2,FALSE),"N/A")</f>
        <v/>
      </c>
      <c r="L15" t="inlineStr">
        <is>
          <t>HLOOKUP</t>
        </is>
      </c>
      <c r="M15" t="inlineStr">
        <is>
          <t>Reads horiz table</t>
        </is>
      </c>
    </row>
    <row r="16">
      <c r="A16" t="inlineStr">
        <is>
          <t>PRD-012</t>
        </is>
      </c>
      <c r="B16" t="inlineStr">
        <is>
          <t>GPU Accelerator V2</t>
        </is>
      </c>
      <c r="C16" t="inlineStr">
        <is>
          <t>Hardware</t>
        </is>
      </c>
      <c r="D16" t="inlineStr">
        <is>
          <t>Compute</t>
        </is>
      </c>
      <c r="E16" s="7" t="n">
        <v>12999</v>
      </c>
      <c r="F16" s="7" t="n">
        <v>6500</v>
      </c>
      <c r="G16" s="7">
        <f>E16-F16</f>
        <v/>
      </c>
      <c r="H16" s="3">
        <f>IFERROR(G16/E16,0)</f>
        <v/>
      </c>
      <c r="J16" t="inlineStr">
        <is>
          <t>NUMBERVALUE Demo</t>
        </is>
      </c>
      <c r="K16">
        <f>IFERROR(_xludf.NUMBERVALUE(TEXT(INDEX($E$5:$E$19,MATCH($K$5,$A$5:$A$19,0)),"0.00"),".",","),"N/A")</f>
        <v/>
      </c>
      <c r="L16" t="inlineStr">
        <is>
          <t>NUMBERVALUE+TEXT</t>
        </is>
      </c>
      <c r="M16" t="inlineStr">
        <is>
          <t>Text→number</t>
        </is>
      </c>
    </row>
    <row r="17">
      <c r="A17" t="inlineStr">
        <is>
          <t>PRD-013</t>
        </is>
      </c>
      <c r="B17" t="inlineStr">
        <is>
          <t>Compliance Tracker</t>
        </is>
      </c>
      <c r="C17" t="inlineStr">
        <is>
          <t>Software</t>
        </is>
      </c>
      <c r="D17" t="inlineStr">
        <is>
          <t>GRC</t>
        </is>
      </c>
      <c r="E17" s="7" t="n">
        <v>549</v>
      </c>
      <c r="F17" s="7" t="n">
        <v>65</v>
      </c>
      <c r="G17" s="7">
        <f>E17-F17</f>
        <v/>
      </c>
      <c r="H17" s="3">
        <f>IFERROR(G17/E17,0)</f>
        <v/>
      </c>
      <c r="J17" t="inlineStr">
        <is>
          <t>ISNA Demo</t>
        </is>
      </c>
      <c r="K17">
        <f>IF(ISNA(MATCH("FAKE",$A$5:$A$19,0)),"No match (ISNA=TRUE)","Found")</f>
        <v/>
      </c>
      <c r="L17" t="inlineStr">
        <is>
          <t>ISNA</t>
        </is>
      </c>
      <c r="M17" t="inlineStr">
        <is>
          <t>Specific NA check</t>
        </is>
      </c>
    </row>
    <row r="18">
      <c r="A18" t="inlineStr">
        <is>
          <t>PRD-014</t>
        </is>
      </c>
      <c r="B18" t="inlineStr">
        <is>
          <t>Smart NAS 20TB</t>
        </is>
      </c>
      <c r="C18" t="inlineStr">
        <is>
          <t>Hardware</t>
        </is>
      </c>
      <c r="D18" t="inlineStr">
        <is>
          <t>Storage</t>
        </is>
      </c>
      <c r="E18" s="7" t="n">
        <v>2899</v>
      </c>
      <c r="F18" s="7" t="n">
        <v>1100</v>
      </c>
      <c r="G18" s="7">
        <f>E18-F18</f>
        <v/>
      </c>
      <c r="H18" s="3">
        <f>IFERROR(G18/E18,0)</f>
        <v/>
      </c>
    </row>
    <row r="19">
      <c r="A19" t="inlineStr">
        <is>
          <t>PRD-015</t>
        </is>
      </c>
      <c r="B19" t="inlineStr">
        <is>
          <t>Identity Guard</t>
        </is>
      </c>
      <c r="C19" t="inlineStr">
        <is>
          <t>Software</t>
        </is>
      </c>
      <c r="D19" t="inlineStr">
        <is>
          <t>Security</t>
        </is>
      </c>
      <c r="E19" s="7" t="n">
        <v>749</v>
      </c>
      <c r="F19" s="7" t="n">
        <v>85</v>
      </c>
      <c r="G19" s="7">
        <f>E19-F19</f>
        <v/>
      </c>
      <c r="H19" s="3">
        <f>IFERROR(G19/E19,0)</f>
        <v/>
      </c>
      <c r="J19" t="inlineStr">
        <is>
          <t>SUMPRODUCT ANALYTICS</t>
        </is>
      </c>
    </row>
    <row r="20">
      <c r="J20" t="inlineStr">
        <is>
          <t>Metric</t>
        </is>
      </c>
      <c r="K20" t="inlineStr">
        <is>
          <t>Value</t>
        </is>
      </c>
      <c r="L20" t="inlineStr">
        <is>
          <t>Formula</t>
        </is>
      </c>
      <c r="M20" t="inlineStr">
        <is>
          <t>Notes</t>
        </is>
      </c>
    </row>
    <row r="21">
      <c r="J21" t="inlineStr">
        <is>
          <t>Software Revenue Potential</t>
        </is>
      </c>
      <c r="K21" s="1">
        <f>SUMPRODUCT(($C$5:$C$19="Software")*$E$5:$E$19)</f>
        <v/>
      </c>
      <c r="L21" t="inlineStr">
        <is>
          <t>SUMPRODUCT conditional</t>
        </is>
      </c>
    </row>
    <row r="22">
      <c r="A22" t="inlineStr">
        <is>
          <t>CATEGORY PRICE LOOKUP TABLE  (used by HLOOKUP)</t>
        </is>
      </c>
      <c r="J22" t="inlineStr">
        <is>
          <t>Hardware Revenue Potential</t>
        </is>
      </c>
      <c r="K22" s="1">
        <f>SUMPRODUCT(($C$5:$C$19="Hardware")*$E$5:$E$19)</f>
        <v/>
      </c>
      <c r="L22" t="inlineStr">
        <is>
          <t>SUMPRODUCT conditional</t>
        </is>
      </c>
    </row>
    <row r="23">
      <c r="A23" t="inlineStr">
        <is>
          <t>Metric</t>
        </is>
      </c>
      <c r="B23" t="inlineStr">
        <is>
          <t>Software</t>
        </is>
      </c>
      <c r="C23" t="inlineStr">
        <is>
          <t>Hardware</t>
        </is>
      </c>
      <c r="D23" t="inlineStr">
        <is>
          <t>Storage</t>
        </is>
      </c>
      <c r="E23" t="inlineStr">
        <is>
          <t>Network</t>
        </is>
      </c>
      <c r="F23" t="inlineStr">
        <is>
          <t>Compute</t>
        </is>
      </c>
      <c r="G23" t="inlineStr">
        <is>
          <t>AI/ML</t>
        </is>
      </c>
      <c r="H23" t="inlineStr">
        <is>
          <t>Security</t>
        </is>
      </c>
      <c r="J23" t="inlineStr">
        <is>
          <t>Weighted Avg Margin %</t>
        </is>
      </c>
      <c r="K23" s="3">
        <f>IFERROR(SUMPRODUCT($E$5:$E$19,$H$5:$H$19)/SUM($E$5:$E$19),0)</f>
        <v/>
      </c>
      <c r="L23" t="inlineStr">
        <is>
          <t>SUMPRODUCT/SUM weighted</t>
        </is>
      </c>
    </row>
    <row r="24">
      <c r="A24" t="inlineStr">
        <is>
          <t>Avg List Price</t>
        </is>
      </c>
      <c r="B24" s="7">
        <f>IFERROR(AVERAGEIF($C$5:$C$19,B23,$E$5:$E$19),0)</f>
        <v/>
      </c>
      <c r="C24" s="7">
        <f>IFERROR(AVERAGEIF($C$5:$C$19,C23,$E$5:$E$19),0)</f>
        <v/>
      </c>
      <c r="D24" s="7">
        <f>IFERROR(AVERAGEIF($C$5:$C$19,D23,$E$5:$E$19),0)</f>
        <v/>
      </c>
      <c r="E24" s="7">
        <f>IFERROR(AVERAGEIF($C$5:$C$19,E23,$E$5:$E$19),0)</f>
        <v/>
      </c>
      <c r="F24" s="7">
        <f>IFERROR(AVERAGEIF($C$5:$C$19,F23,$E$5:$E$19),0)</f>
        <v/>
      </c>
      <c r="G24" s="7">
        <f>IFERROR(AVERAGEIF($C$5:$C$19,G23,$E$5:$E$19),0)</f>
        <v/>
      </c>
      <c r="H24" s="7">
        <f>IFERROR(AVERAGEIF($C$5:$C$19,H23,$E$5:$E$19),0)</f>
        <v/>
      </c>
      <c r="J24" t="inlineStr">
        <is>
          <t>Count Price &gt; $1000</t>
        </is>
      </c>
      <c r="K24" s="2">
        <f>SUMPRODUCT(($E$5:$E$19&gt;1000)*1)</f>
        <v/>
      </c>
      <c r="L24" t="inlineStr">
        <is>
          <t>SUMPRODUCT boolean</t>
        </is>
      </c>
    </row>
    <row r="25">
      <c r="A25" t="inlineStr">
        <is>
          <t>Count SKUs</t>
        </is>
      </c>
      <c r="B25" s="2">
        <f>COUNTIF($C$5:$C$19,B23)</f>
        <v/>
      </c>
      <c r="C25" s="2">
        <f>COUNTIF($C$5:$C$19,C23)</f>
        <v/>
      </c>
      <c r="D25" s="2">
        <f>COUNTIF($C$5:$C$19,D23)</f>
        <v/>
      </c>
      <c r="E25" s="2">
        <f>COUNTIF($C$5:$C$19,E23)</f>
        <v/>
      </c>
      <c r="F25" s="2">
        <f>COUNTIF($C$5:$C$19,F23)</f>
        <v/>
      </c>
      <c r="G25" s="2">
        <f>COUNTIF($C$5:$C$19,G23)</f>
        <v/>
      </c>
      <c r="H25" s="2">
        <f>COUNTIF($C$5:$C$19,H23)</f>
        <v/>
      </c>
      <c r="J25" t="inlineStr">
        <is>
          <t>High-margin SW count</t>
        </is>
      </c>
      <c r="K25" s="2">
        <f>SUMPRODUCT(($C$5:$C$19="Software")*($H$5:$H$19&gt;0.8))</f>
        <v/>
      </c>
      <c r="L25" t="inlineStr">
        <is>
          <t>SUMPRODUCT multi-condition</t>
        </is>
      </c>
    </row>
    <row r="26">
      <c r="A26" t="inlineStr">
        <is>
          <t>Avg Margin %</t>
        </is>
      </c>
      <c r="B26" s="3">
        <f>IFERROR(AVERAGEIF($C$5:$C$19,B23,$H$5:$H$19),0)</f>
        <v/>
      </c>
      <c r="C26" s="3">
        <f>IFERROR(AVERAGEIF($C$5:$C$19,C23,$H$5:$H$19),0)</f>
        <v/>
      </c>
      <c r="D26" s="3">
        <f>IFERROR(AVERAGEIF($C$5:$C$19,D23,$H$5:$H$19),0)</f>
        <v/>
      </c>
      <c r="E26" s="3">
        <f>IFERROR(AVERAGEIF($C$5:$C$19,E23,$H$5:$H$19),0)</f>
        <v/>
      </c>
      <c r="F26" s="3">
        <f>IFERROR(AVERAGEIF($C$5:$C$19,F23,$H$5:$H$19),0)</f>
        <v/>
      </c>
      <c r="G26" s="3">
        <f>IFERROR(AVERAGEIF($C$5:$C$19,G23,$H$5:$H$19),0)</f>
        <v/>
      </c>
      <c r="H26" s="3">
        <f>IFERROR(AVERAGEIF($C$5:$C$19,H23,$H$5:$H$19),0)</f>
        <v/>
      </c>
      <c r="J26" t="inlineStr">
        <is>
          <t>COLUMN of Price col</t>
        </is>
      </c>
      <c r="K26" s="2">
        <f>COLUMN($E$5)</f>
        <v/>
      </c>
      <c r="L26" t="inlineStr">
        <is>
          <t>COLUMN function</t>
        </is>
      </c>
    </row>
    <row r="27">
      <c r="J27" t="inlineStr">
        <is>
          <t>LARGE 1st price</t>
        </is>
      </c>
      <c r="K27" s="7">
        <f>LARGE($E$5:$E$19,1)</f>
        <v/>
      </c>
      <c r="L27" t="inlineStr">
        <is>
          <t>LARGE</t>
        </is>
      </c>
    </row>
    <row r="28">
      <c r="J28" t="inlineStr">
        <is>
          <t>LARGE 3rd price</t>
        </is>
      </c>
      <c r="K28" s="7">
        <f>LARGE($E$5:$E$19,3)</f>
        <v/>
      </c>
      <c r="L28" t="inlineStr">
        <is>
          <t>LARGE</t>
        </is>
      </c>
    </row>
    <row r="29">
      <c r="J29" t="inlineStr">
        <is>
          <t>VALUE of text number</t>
        </is>
      </c>
      <c r="K29" s="7">
        <f>VALUE(TEXT(LARGE($E$5:$E$19,1),"0.00"))</f>
        <v/>
      </c>
      <c r="L29" t="inlineStr">
        <is>
          <t>VALUE+TEXT+LARGE</t>
        </is>
      </c>
    </row>
    <row r="30">
      <c r="J30" t="inlineStr">
        <is>
          <t>ROW-weighted sum</t>
        </is>
      </c>
      <c r="K30" s="1">
        <f>SUMPRODUCT((ROW($A$5:$A$19)-ROW($A$5)+1)*$G$5:$G$19)</f>
        <v/>
      </c>
      <c r="L30" t="inlineStr">
        <is>
          <t>ROW inside SUMPRODUCT</t>
        </is>
      </c>
    </row>
  </sheetData>
  <mergeCells count="4">
    <mergeCell ref="J19:N19"/>
    <mergeCell ref="A3:H3"/>
    <mergeCell ref="A22:H22"/>
    <mergeCell ref="J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🏆  Sales Performance Tracker — RANK, LARGE, COUNTIF, SUMPRODUCT</t>
        </is>
      </c>
    </row>
    <row r="2"/>
    <row r="3">
      <c r="A3" t="inlineStr">
        <is>
          <t>QUARTERLY SALES DATA</t>
        </is>
      </c>
    </row>
    <row r="4">
      <c r="A4" t="inlineStr">
        <is>
          <t>Rep ID</t>
        </is>
      </c>
      <c r="B4" t="inlineStr">
        <is>
          <t>Rep Name</t>
        </is>
      </c>
      <c r="C4" t="inlineStr">
        <is>
          <t>Region</t>
        </is>
      </c>
      <c r="D4" t="inlineStr">
        <is>
          <t>Q1</t>
        </is>
      </c>
      <c r="E4" t="inlineStr">
        <is>
          <t>Q2</t>
        </is>
      </c>
      <c r="F4" t="inlineStr">
        <is>
          <t>Q3</t>
        </is>
      </c>
      <c r="G4" t="inlineStr">
        <is>
          <t>Q4</t>
        </is>
      </c>
      <c r="H4" t="inlineStr">
        <is>
          <t>Annual Total</t>
        </is>
      </c>
      <c r="I4" t="inlineStr">
        <is>
          <t>Target</t>
        </is>
      </c>
      <c r="J4" t="inlineStr">
        <is>
          <t>% to Target</t>
        </is>
      </c>
      <c r="K4" t="inlineStr">
        <is>
          <t>Rank</t>
        </is>
      </c>
    </row>
    <row r="5">
      <c r="A5" t="inlineStr">
        <is>
          <t>R01</t>
        </is>
      </c>
      <c r="B5" t="inlineStr">
        <is>
          <t>Cassandra Blake</t>
        </is>
      </c>
      <c r="C5" t="inlineStr">
        <is>
          <t>Northeast</t>
        </is>
      </c>
      <c r="D5" s="1" t="n">
        <v>284000</v>
      </c>
      <c r="E5" s="1" t="n">
        <v>312000</v>
      </c>
      <c r="F5" s="1" t="n">
        <v>298000</v>
      </c>
      <c r="G5" s="1" t="n">
        <v>341000</v>
      </c>
      <c r="H5" s="1">
        <f>SUM(D5:G5)</f>
        <v/>
      </c>
      <c r="I5" s="1" t="n">
        <v>1150000</v>
      </c>
      <c r="J5" s="3">
        <f>IFERROR(H5/I5,0)</f>
        <v/>
      </c>
      <c r="K5" s="2">
        <f>RANK(H5,$H$5:$H$16,0)</f>
        <v/>
      </c>
    </row>
    <row r="6">
      <c r="A6" t="inlineStr">
        <is>
          <t>R02</t>
        </is>
      </c>
      <c r="B6" t="inlineStr">
        <is>
          <t>Marcus Powell</t>
        </is>
      </c>
      <c r="C6" t="inlineStr">
        <is>
          <t>Southeast</t>
        </is>
      </c>
      <c r="D6" s="1" t="n">
        <v>198000</v>
      </c>
      <c r="E6" s="1" t="n">
        <v>221000</v>
      </c>
      <c r="F6" s="1" t="n">
        <v>245000</v>
      </c>
      <c r="G6" s="1" t="n">
        <v>267000</v>
      </c>
      <c r="H6" s="1">
        <f>SUM(D6:G6)</f>
        <v/>
      </c>
      <c r="I6" s="1" t="n">
        <v>950000</v>
      </c>
      <c r="J6" s="3">
        <f>IFERROR(H6/I6,0)</f>
        <v/>
      </c>
      <c r="K6" s="2">
        <f>RANK(H6,$H$5:$H$16,0)</f>
        <v/>
      </c>
    </row>
    <row r="7">
      <c r="A7" t="inlineStr">
        <is>
          <t>R03</t>
        </is>
      </c>
      <c r="B7" t="inlineStr">
        <is>
          <t>Ingrid Svensson</t>
        </is>
      </c>
      <c r="C7" t="inlineStr">
        <is>
          <t>Midwest</t>
        </is>
      </c>
      <c r="D7" s="1" t="n">
        <v>312000</v>
      </c>
      <c r="E7" s="1" t="n">
        <v>289000</v>
      </c>
      <c r="F7" s="1" t="n">
        <v>334000</v>
      </c>
      <c r="G7" s="1" t="n">
        <v>358000</v>
      </c>
      <c r="H7" s="1">
        <f>SUM(D7:G7)</f>
        <v/>
      </c>
      <c r="I7" s="1" t="n">
        <v>1200000</v>
      </c>
      <c r="J7" s="3">
        <f>IFERROR(H7/I7,0)</f>
        <v/>
      </c>
      <c r="K7" s="2">
        <f>RANK(H7,$H$5:$H$16,0)</f>
        <v/>
      </c>
    </row>
    <row r="8">
      <c r="A8" t="inlineStr">
        <is>
          <t>R04</t>
        </is>
      </c>
      <c r="B8" t="inlineStr">
        <is>
          <t>DeShawn Harris</t>
        </is>
      </c>
      <c r="C8" t="inlineStr">
        <is>
          <t>Southwest</t>
        </is>
      </c>
      <c r="D8" s="1" t="n">
        <v>167000</v>
      </c>
      <c r="E8" s="1" t="n">
        <v>189000</v>
      </c>
      <c r="F8" s="1" t="n">
        <v>201000</v>
      </c>
      <c r="G8" s="1" t="n">
        <v>224000</v>
      </c>
      <c r="H8" s="1">
        <f>SUM(D8:G8)</f>
        <v/>
      </c>
      <c r="I8" s="1" t="n">
        <v>850000</v>
      </c>
      <c r="J8" s="3">
        <f>IFERROR(H8/I8,0)</f>
        <v/>
      </c>
      <c r="K8" s="2">
        <f>RANK(H8,$H$5:$H$16,0)</f>
        <v/>
      </c>
    </row>
    <row r="9">
      <c r="A9" t="inlineStr">
        <is>
          <t>R05</t>
        </is>
      </c>
      <c r="B9" t="inlineStr">
        <is>
          <t>Valentina Rossi</t>
        </is>
      </c>
      <c r="C9" t="inlineStr">
        <is>
          <t>West</t>
        </is>
      </c>
      <c r="D9" s="1" t="n">
        <v>398000</v>
      </c>
      <c r="E9" s="1" t="n">
        <v>412000</v>
      </c>
      <c r="F9" s="1" t="n">
        <v>445000</v>
      </c>
      <c r="G9" s="1" t="n">
        <v>489000</v>
      </c>
      <c r="H9" s="1">
        <f>SUM(D9:G9)</f>
        <v/>
      </c>
      <c r="I9" s="1" t="n">
        <v>1600000</v>
      </c>
      <c r="J9" s="3">
        <f>IFERROR(H9/I9,0)</f>
        <v/>
      </c>
      <c r="K9" s="2">
        <f>RANK(H9,$H$5:$H$16,0)</f>
        <v/>
      </c>
    </row>
    <row r="10">
      <c r="A10" t="inlineStr">
        <is>
          <t>R06</t>
        </is>
      </c>
      <c r="B10" t="inlineStr">
        <is>
          <t>Jonathan Kim</t>
        </is>
      </c>
      <c r="C10" t="inlineStr">
        <is>
          <t>Northeast</t>
        </is>
      </c>
      <c r="D10" s="1" t="n">
        <v>275000</v>
      </c>
      <c r="E10" s="1" t="n">
        <v>291000</v>
      </c>
      <c r="F10" s="1" t="n">
        <v>308000</v>
      </c>
      <c r="G10" s="1" t="n">
        <v>322000</v>
      </c>
      <c r="H10" s="1">
        <f>SUM(D10:G10)</f>
        <v/>
      </c>
      <c r="I10" s="1" t="n">
        <v>1100000</v>
      </c>
      <c r="J10" s="3">
        <f>IFERROR(H10/I10,0)</f>
        <v/>
      </c>
      <c r="K10" s="2">
        <f>RANK(H10,$H$5:$H$16,0)</f>
        <v/>
      </c>
    </row>
    <row r="11">
      <c r="A11" t="inlineStr">
        <is>
          <t>R07</t>
        </is>
      </c>
      <c r="B11" t="inlineStr">
        <is>
          <t>Amelia Torres</t>
        </is>
      </c>
      <c r="C11" t="inlineStr">
        <is>
          <t>Southeast</t>
        </is>
      </c>
      <c r="D11" s="1" t="n">
        <v>143000</v>
      </c>
      <c r="E11" s="1" t="n">
        <v>168000</v>
      </c>
      <c r="F11" s="1" t="n">
        <v>152000</v>
      </c>
      <c r="G11" s="1" t="n">
        <v>187000</v>
      </c>
      <c r="H11" s="1">
        <f>SUM(D11:G11)</f>
        <v/>
      </c>
      <c r="I11" s="1" t="n">
        <v>700000</v>
      </c>
      <c r="J11" s="3">
        <f>IFERROR(H11/I11,0)</f>
        <v/>
      </c>
      <c r="K11" s="2">
        <f>RANK(H11,$H$5:$H$16,0)</f>
        <v/>
      </c>
    </row>
    <row r="12">
      <c r="A12" t="inlineStr">
        <is>
          <t>R08</t>
        </is>
      </c>
      <c r="B12" t="inlineStr">
        <is>
          <t>Patrick O'Connell</t>
        </is>
      </c>
      <c r="C12" t="inlineStr">
        <is>
          <t>Midwest</t>
        </is>
      </c>
      <c r="D12" s="1" t="n">
        <v>321000</v>
      </c>
      <c r="E12" s="1" t="n">
        <v>344000</v>
      </c>
      <c r="F12" s="1" t="n">
        <v>367000</v>
      </c>
      <c r="G12" s="1" t="n">
        <v>401000</v>
      </c>
      <c r="H12" s="1">
        <f>SUM(D12:G12)</f>
        <v/>
      </c>
      <c r="I12" s="1" t="n">
        <v>1400000</v>
      </c>
      <c r="J12" s="3">
        <f>IFERROR(H12/I12,0)</f>
        <v/>
      </c>
      <c r="K12" s="2">
        <f>RANK(H12,$H$5:$H$16,0)</f>
        <v/>
      </c>
    </row>
    <row r="13">
      <c r="A13" t="inlineStr">
        <is>
          <t>R09</t>
        </is>
      </c>
      <c r="B13" t="inlineStr">
        <is>
          <t>Zara Mahmoud</t>
        </is>
      </c>
      <c r="C13" t="inlineStr">
        <is>
          <t>West</t>
        </is>
      </c>
      <c r="D13" s="1" t="n">
        <v>289000</v>
      </c>
      <c r="E13" s="1" t="n">
        <v>310000</v>
      </c>
      <c r="F13" s="1" t="n">
        <v>342000</v>
      </c>
      <c r="G13" s="1" t="n">
        <v>378000</v>
      </c>
      <c r="H13" s="1">
        <f>SUM(D13:G13)</f>
        <v/>
      </c>
      <c r="I13" s="1" t="n">
        <v>1250000</v>
      </c>
      <c r="J13" s="3">
        <f>IFERROR(H13/I13,0)</f>
        <v/>
      </c>
      <c r="K13" s="2">
        <f>RANK(H13,$H$5:$H$16,0)</f>
        <v/>
      </c>
    </row>
    <row r="14">
      <c r="A14" t="inlineStr">
        <is>
          <t>R10</t>
        </is>
      </c>
      <c r="B14" t="inlineStr">
        <is>
          <t>Elijah Washington</t>
        </is>
      </c>
      <c r="C14" t="inlineStr">
        <is>
          <t>Southwest</t>
        </is>
      </c>
      <c r="D14" s="1" t="n">
        <v>212000</v>
      </c>
      <c r="E14" s="1" t="n">
        <v>235000</v>
      </c>
      <c r="F14" s="1" t="n">
        <v>258000</v>
      </c>
      <c r="G14" s="1" t="n">
        <v>281000</v>
      </c>
      <c r="H14" s="1">
        <f>SUM(D14:G14)</f>
        <v/>
      </c>
      <c r="I14" s="1" t="n">
        <v>1000000</v>
      </c>
      <c r="J14" s="3">
        <f>IFERROR(H14/I14,0)</f>
        <v/>
      </c>
      <c r="K14" s="2">
        <f>RANK(H14,$H$5:$H$16,0)</f>
        <v/>
      </c>
    </row>
    <row r="15">
      <c r="A15" t="inlineStr">
        <is>
          <t>R11</t>
        </is>
      </c>
      <c r="B15" t="inlineStr">
        <is>
          <t>Hana Watanabe</t>
        </is>
      </c>
      <c r="C15" t="inlineStr">
        <is>
          <t>West</t>
        </is>
      </c>
      <c r="D15" s="1" t="n">
        <v>356000</v>
      </c>
      <c r="E15" s="1" t="n">
        <v>389000</v>
      </c>
      <c r="F15" s="1" t="n">
        <v>412000</v>
      </c>
      <c r="G15" s="1" t="n">
        <v>444000</v>
      </c>
      <c r="H15" s="1">
        <f>SUM(D15:G15)</f>
        <v/>
      </c>
      <c r="I15" s="1" t="n">
        <v>1500000</v>
      </c>
      <c r="J15" s="3">
        <f>IFERROR(H15/I15,0)</f>
        <v/>
      </c>
      <c r="K15" s="2">
        <f>RANK(H15,$H$5:$H$16,0)</f>
        <v/>
      </c>
    </row>
    <row r="16">
      <c r="A16" t="inlineStr">
        <is>
          <t>R12</t>
        </is>
      </c>
      <c r="B16" t="inlineStr">
        <is>
          <t>Brendan O'Neill</t>
        </is>
      </c>
      <c r="C16" t="inlineStr">
        <is>
          <t>Northeast</t>
        </is>
      </c>
      <c r="D16" s="1" t="n">
        <v>198000</v>
      </c>
      <c r="E16" s="1" t="n">
        <v>215000</v>
      </c>
      <c r="F16" s="1" t="n">
        <v>232000</v>
      </c>
      <c r="G16" s="1" t="n">
        <v>249000</v>
      </c>
      <c r="H16" s="1">
        <f>SUM(D16:G16)</f>
        <v/>
      </c>
      <c r="I16" s="1" t="n">
        <v>900000</v>
      </c>
      <c r="J16" s="3">
        <f>IFERROR(H16/I16,0)</f>
        <v/>
      </c>
      <c r="K16" s="2">
        <f>RANK(H16,$H$5:$H$16,0)</f>
        <v/>
      </c>
    </row>
    <row r="17">
      <c r="A17" t="inlineStr">
        <is>
          <t>TOTALS</t>
        </is>
      </c>
      <c r="D17" s="1">
        <f>SUM(D5:D16)</f>
        <v/>
      </c>
      <c r="E17" s="1">
        <f>SUM(E5:E16)</f>
        <v/>
      </c>
      <c r="F17" s="1">
        <f>SUM(F5:F16)</f>
        <v/>
      </c>
      <c r="G17" s="1">
        <f>SUM(G5:G16)</f>
        <v/>
      </c>
      <c r="H17" s="1">
        <f>SUM(H5:H16)</f>
        <v/>
      </c>
      <c r="I17" s="1">
        <f>SUM(I5:I16)</f>
        <v/>
      </c>
      <c r="J17" s="3">
        <f>IFERROR(H17/I17,0)</f>
        <v/>
      </c>
    </row>
    <row r="18"/>
    <row r="19">
      <c r="A19" t="inlineStr">
        <is>
          <t>SALES ANALYTICS</t>
        </is>
      </c>
    </row>
    <row r="20">
      <c r="A20" t="inlineStr">
        <is>
          <t>Metric</t>
        </is>
      </c>
      <c r="B20" t="inlineStr">
        <is>
          <t>Value</t>
        </is>
      </c>
      <c r="C20" t="inlineStr">
        <is>
          <t>Formula</t>
        </is>
      </c>
      <c r="D20" t="inlineStr">
        <is>
          <t>Period</t>
        </is>
      </c>
      <c r="E20" t="inlineStr">
        <is>
          <t>Notes</t>
        </is>
      </c>
    </row>
    <row r="21">
      <c r="A21" t="inlineStr">
        <is>
          <t>Top Rep (by Annual)</t>
        </is>
      </c>
      <c r="B21" s="2">
        <f>IFERROR(INDEX(B5:B16,MATCH(MAX(H5:H16),H5:H16,0)),"N/A")</f>
        <v/>
      </c>
      <c r="C21" t="inlineStr">
        <is>
          <t>INDEX+MATCH+MAX</t>
        </is>
      </c>
      <c r="D21" t="inlineStr">
        <is>
          <t>Full year</t>
        </is>
      </c>
    </row>
    <row r="22">
      <c r="A22" t="inlineStr">
        <is>
          <t>Highest Single Quarter</t>
        </is>
      </c>
      <c r="B22" s="1">
        <f>MAX(D5:G16)</f>
        <v/>
      </c>
      <c r="C22" t="inlineStr">
        <is>
          <t>MAX</t>
        </is>
      </c>
      <c r="D22" t="inlineStr">
        <is>
          <t>All quarters</t>
        </is>
      </c>
    </row>
    <row r="23">
      <c r="A23" t="inlineStr">
        <is>
          <t>Lowest Annual Total</t>
        </is>
      </c>
      <c r="B23" s="1">
        <f>MIN(H5:H16)</f>
        <v/>
      </c>
      <c r="C23" t="inlineStr">
        <is>
          <t>MIN</t>
        </is>
      </c>
      <c r="D23" t="inlineStr">
        <is>
          <t>Full year</t>
        </is>
      </c>
    </row>
    <row r="24">
      <c r="A24" t="inlineStr">
        <is>
          <t>Reps &gt;100% Target</t>
        </is>
      </c>
      <c r="B24" s="3">
        <f>COUNTIF(J5:J16,"&gt;1")</f>
        <v/>
      </c>
      <c r="C24" t="inlineStr">
        <is>
          <t>COUNTIF</t>
        </is>
      </c>
      <c r="D24" t="inlineStr">
        <is>
          <t>All reps</t>
        </is>
      </c>
    </row>
    <row r="25">
      <c r="A25" t="inlineStr">
        <is>
          <t>Reps &lt;80% Target</t>
        </is>
      </c>
      <c r="B25" s="3">
        <f>COUNTIF(J5:J16,"&lt;0.8")</f>
        <v/>
      </c>
      <c r="C25" t="inlineStr">
        <is>
          <t>COUNTIF</t>
        </is>
      </c>
      <c r="D25" t="inlineStr">
        <is>
          <t>At-risk</t>
        </is>
      </c>
    </row>
    <row r="26">
      <c r="A26" t="inlineStr">
        <is>
          <t>Avg Q4 Performance</t>
        </is>
      </c>
      <c r="B26" s="1">
        <f>AVERAGE(G5:G16)</f>
        <v/>
      </c>
      <c r="C26" t="inlineStr">
        <is>
          <t>AVERAGE</t>
        </is>
      </c>
      <c r="D26" t="inlineStr">
        <is>
          <t>Q4 only</t>
        </is>
      </c>
    </row>
    <row r="27">
      <c r="A27" t="inlineStr">
        <is>
          <t>Std Dev Annual Sales</t>
        </is>
      </c>
      <c r="B27" s="1">
        <f>STDEV(H5:H16)</f>
        <v/>
      </c>
      <c r="C27" t="inlineStr">
        <is>
          <t>STDEV</t>
        </is>
      </c>
      <c r="D27" t="inlineStr">
        <is>
          <t>Dispersion</t>
        </is>
      </c>
    </row>
    <row r="28">
      <c r="A28" t="inlineStr">
        <is>
          <t>Total West Region</t>
        </is>
      </c>
      <c r="B28" s="1">
        <f>SUMPRODUCT((C5:C16="West")*H5:H16)</f>
        <v/>
      </c>
      <c r="C28" t="inlineStr">
        <is>
          <t>SUMPRODUCT</t>
        </is>
      </c>
      <c r="D28" t="inlineStr">
        <is>
          <t>Region filter</t>
        </is>
      </c>
    </row>
    <row r="29">
      <c r="A29" t="inlineStr">
        <is>
          <t>2nd Highest Annual</t>
        </is>
      </c>
      <c r="B29" s="1">
        <f>LARGE(H5:H16,2)</f>
        <v/>
      </c>
      <c r="C29" t="inlineStr">
        <is>
          <t>LARGE</t>
        </is>
      </c>
      <c r="D29" t="inlineStr">
        <is>
          <t>Runner-up</t>
        </is>
      </c>
    </row>
    <row r="30">
      <c r="A30" t="inlineStr">
        <is>
          <t>3rd Highest Annual</t>
        </is>
      </c>
      <c r="B30" s="1">
        <f>LARGE(H5:H16,3)</f>
        <v/>
      </c>
      <c r="C30" t="inlineStr">
        <is>
          <t>LARGE</t>
        </is>
      </c>
      <c r="D30" t="inlineStr">
        <is>
          <t>3rd place</t>
        </is>
      </c>
    </row>
    <row r="31">
      <c r="A31" t="inlineStr">
        <is>
          <t>OFFSET: Q3 of Rank 1</t>
        </is>
      </c>
      <c r="B31" s="1">
        <f>IFERROR(OFFSET(D5,MATCH(1,K5:K16,0)-1,2),0)</f>
        <v/>
      </c>
      <c r="C31" t="inlineStr">
        <is>
          <t>OFFSET+MATCH</t>
        </is>
      </c>
      <c r="D31" t="inlineStr">
        <is>
          <t>Dynamic range</t>
        </is>
      </c>
    </row>
    <row r="32">
      <c r="A32" t="inlineStr">
        <is>
          <t>Northeast Rep Count</t>
        </is>
      </c>
      <c r="B32" s="2">
        <f>COUNTIF(C5:C16,"Northeast")</f>
        <v/>
      </c>
      <c r="C32" t="inlineStr">
        <is>
          <t>COUNTIF</t>
        </is>
      </c>
      <c r="D32" t="inlineStr">
        <is>
          <t>Region</t>
        </is>
      </c>
    </row>
    <row r="33">
      <c r="A33" t="inlineStr">
        <is>
          <t>CHOOSE Quarter Label</t>
        </is>
      </c>
      <c r="B33" s="2">
        <f>CHOOSE(2,"Q1 2024","Q2 2024","Q3 2024","Q4 2024")</f>
        <v/>
      </c>
      <c r="C33" t="inlineStr">
        <is>
          <t>CHOOSE</t>
        </is>
      </c>
      <c r="D33" t="inlineStr">
        <is>
          <t>Selector demo</t>
        </is>
      </c>
    </row>
    <row r="34">
      <c r="A34" t="inlineStr">
        <is>
          <t>COLUMN of Q1 column</t>
        </is>
      </c>
      <c r="B34" s="2">
        <f>COLUMN(D5)</f>
        <v/>
      </c>
      <c r="C34" t="inlineStr">
        <is>
          <t>COLUMN</t>
        </is>
      </c>
      <c r="D34" t="inlineStr">
        <is>
          <t>Column index</t>
        </is>
      </c>
    </row>
  </sheetData>
  <mergeCells count="2">
    <mergeCell ref="A19:E19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📈  Statistical Analysis — NORMDIST, STDEV, AVERAGE, OFFSET, ROW</t>
        </is>
      </c>
    </row>
    <row r="2"/>
    <row r="3">
      <c r="A3" t="inlineStr">
        <is>
          <t>24-MONTH REVENUE ACTUALS ($M)</t>
        </is>
      </c>
      <c r="H3" t="inlineStr">
        <is>
          <t>DESCRIPTIVE STATISTICS</t>
        </is>
      </c>
    </row>
    <row r="4">
      <c r="A4" t="inlineStr">
        <is>
          <t>Period</t>
        </is>
      </c>
      <c r="B4" t="inlineStr">
        <is>
          <t>Month</t>
        </is>
      </c>
      <c r="C4" t="inlineStr">
        <is>
          <t>Year</t>
        </is>
      </c>
      <c r="D4" t="inlineStr">
        <is>
          <t>Revenue ($M)</t>
        </is>
      </c>
      <c r="E4" t="inlineStr">
        <is>
          <t>MoM Growth</t>
        </is>
      </c>
      <c r="F4" t="inlineStr">
        <is>
          <t>3-Mo Avg (OFFSET)</t>
        </is>
      </c>
      <c r="H4" t="inlineStr">
        <is>
          <t>Statistic</t>
        </is>
      </c>
      <c r="I4" t="inlineStr">
        <is>
          <t>Value</t>
        </is>
      </c>
      <c r="J4" t="inlineStr">
        <is>
          <t>Formula</t>
        </is>
      </c>
      <c r="K4" t="inlineStr">
        <is>
          <t>Notes</t>
        </is>
      </c>
    </row>
    <row r="5">
      <c r="A5" s="2">
        <f>ROW()-ROW($A$5)+1</f>
        <v/>
      </c>
      <c r="B5" t="inlineStr">
        <is>
          <t>Jan</t>
        </is>
      </c>
      <c r="C5" t="inlineStr">
        <is>
          <t>2023</t>
        </is>
      </c>
      <c r="D5" s="8" t="n">
        <v>5.8</v>
      </c>
      <c r="E5" s="3">
        <f>NA()</f>
        <v/>
      </c>
      <c r="F5" s="8">
        <f>NA()</f>
        <v/>
      </c>
      <c r="H5" t="inlineStr">
        <is>
          <t>Count</t>
        </is>
      </c>
      <c r="I5" s="2">
        <f>COUNT(D5:D28)</f>
        <v/>
      </c>
      <c r="J5" t="inlineStr">
        <is>
          <t>COUNT</t>
        </is>
      </c>
      <c r="K5" t="inlineStr">
        <is>
          <t>All months</t>
        </is>
      </c>
    </row>
    <row r="6">
      <c r="A6" s="2">
        <f>ROW()-ROW($A$5)+1</f>
        <v/>
      </c>
      <c r="B6" t="inlineStr">
        <is>
          <t>Feb</t>
        </is>
      </c>
      <c r="C6" t="inlineStr">
        <is>
          <t>2023</t>
        </is>
      </c>
      <c r="D6" s="8" t="n">
        <v>6.1</v>
      </c>
      <c r="E6" s="3">
        <f>IFERROR((D6-D5)/D5,NA())</f>
        <v/>
      </c>
      <c r="F6" s="8">
        <f>NA()</f>
        <v/>
      </c>
      <c r="H6" t="inlineStr">
        <is>
          <t>Mean ($M)</t>
        </is>
      </c>
      <c r="I6" s="8">
        <f>AVERAGE(D5:D28)</f>
        <v/>
      </c>
      <c r="J6" t="inlineStr">
        <is>
          <t>AVERAGE</t>
        </is>
      </c>
      <c r="K6" t="inlineStr">
        <is>
          <t>Arithmetic mean</t>
        </is>
      </c>
    </row>
    <row r="7">
      <c r="A7" s="2">
        <f>ROW()-ROW($A$5)+1</f>
        <v/>
      </c>
      <c r="B7" t="inlineStr">
        <is>
          <t>Mar</t>
        </is>
      </c>
      <c r="C7" t="inlineStr">
        <is>
          <t>2023</t>
        </is>
      </c>
      <c r="D7" s="8" t="n">
        <v>6.4</v>
      </c>
      <c r="E7" s="3">
        <f>IFERROR((D7-D6)/D6,NA())</f>
        <v/>
      </c>
      <c r="F7" s="8">
        <f>IFERROR(AVERAGE(OFFSET(D7,-2,0,3,1)),NA())</f>
        <v/>
      </c>
      <c r="H7" t="inlineStr">
        <is>
          <t>Std Dev ($M)</t>
        </is>
      </c>
      <c r="I7" s="8">
        <f>STDEV(D5:D28)</f>
        <v/>
      </c>
      <c r="J7" t="inlineStr">
        <is>
          <t>STDEV</t>
        </is>
      </c>
      <c r="K7" t="inlineStr">
        <is>
          <t>Sample std dev</t>
        </is>
      </c>
    </row>
    <row r="8">
      <c r="A8" s="2">
        <f>ROW()-ROW($A$5)+1</f>
        <v/>
      </c>
      <c r="B8" t="inlineStr">
        <is>
          <t>Apr</t>
        </is>
      </c>
      <c r="C8" t="inlineStr">
        <is>
          <t>2023</t>
        </is>
      </c>
      <c r="D8" s="8" t="n">
        <v>6.9</v>
      </c>
      <c r="E8" s="3">
        <f>IFERROR((D8-D7)/D7,NA())</f>
        <v/>
      </c>
      <c r="F8" s="8">
        <f>IFERROR(AVERAGE(OFFSET(D8,-2,0,3,1)),NA())</f>
        <v/>
      </c>
      <c r="H8" t="inlineStr">
        <is>
          <t>Min ($M)</t>
        </is>
      </c>
      <c r="I8" s="8">
        <f>MIN(D5:D28)</f>
        <v/>
      </c>
      <c r="J8" t="inlineStr">
        <is>
          <t>MIN</t>
        </is>
      </c>
      <c r="K8" t="inlineStr">
        <is>
          <t>Lowest month</t>
        </is>
      </c>
    </row>
    <row r="9">
      <c r="A9" s="2">
        <f>ROW()-ROW($A$5)+1</f>
        <v/>
      </c>
      <c r="B9" t="inlineStr">
        <is>
          <t>May</t>
        </is>
      </c>
      <c r="C9" t="inlineStr">
        <is>
          <t>2023</t>
        </is>
      </c>
      <c r="D9" s="8" t="n">
        <v>7.2</v>
      </c>
      <c r="E9" s="3">
        <f>IFERROR((D9-D8)/D8,NA())</f>
        <v/>
      </c>
      <c r="F9" s="8">
        <f>IFERROR(AVERAGE(OFFSET(D9,-2,0,3,1)),NA())</f>
        <v/>
      </c>
      <c r="H9" t="inlineStr">
        <is>
          <t>Max ($M)</t>
        </is>
      </c>
      <c r="I9" s="8">
        <f>MAX(D5:D28)</f>
        <v/>
      </c>
      <c r="J9" t="inlineStr">
        <is>
          <t>MAX</t>
        </is>
      </c>
      <c r="K9" t="inlineStr">
        <is>
          <t>Peak month</t>
        </is>
      </c>
    </row>
    <row r="10">
      <c r="A10" s="2">
        <f>ROW()-ROW($A$5)+1</f>
        <v/>
      </c>
      <c r="B10" t="inlineStr">
        <is>
          <t>Jun</t>
        </is>
      </c>
      <c r="C10" t="inlineStr">
        <is>
          <t>2023</t>
        </is>
      </c>
      <c r="D10" s="8" t="n">
        <v>7.8</v>
      </c>
      <c r="E10" s="3">
        <f>IFERROR((D10-D9)/D9,NA())</f>
        <v/>
      </c>
      <c r="F10" s="8">
        <f>IFERROR(AVERAGE(OFFSET(D10,-2,0,3,1)),NA())</f>
        <v/>
      </c>
      <c r="H10" t="inlineStr">
        <is>
          <t>Range ($M)</t>
        </is>
      </c>
      <c r="I10" s="8">
        <f>MAX(D5:D28)-MIN(D5:D28)</f>
        <v/>
      </c>
      <c r="J10" t="inlineStr">
        <is>
          <t>MAX-MIN</t>
        </is>
      </c>
      <c r="K10" t="inlineStr">
        <is>
          <t>Spread</t>
        </is>
      </c>
    </row>
    <row r="11">
      <c r="A11" s="2">
        <f>ROW()-ROW($A$5)+1</f>
        <v/>
      </c>
      <c r="B11" t="inlineStr">
        <is>
          <t>Jul</t>
        </is>
      </c>
      <c r="C11" t="inlineStr">
        <is>
          <t>2023</t>
        </is>
      </c>
      <c r="D11" s="8" t="n">
        <v>7.5</v>
      </c>
      <c r="E11" s="3">
        <f>IFERROR((D11-D10)/D10,NA())</f>
        <v/>
      </c>
      <c r="F11" s="8">
        <f>IFERROR(AVERAGE(OFFSET(D11,-2,0,3,1)),NA())</f>
        <v/>
      </c>
      <c r="H11" t="inlineStr">
        <is>
          <t>Median est.</t>
        </is>
      </c>
      <c r="I11" s="8">
        <f>IFERROR((LARGE(D5:D28,12)+LARGE(D5:D28,13))/2,0)</f>
        <v/>
      </c>
      <c r="J11" t="inlineStr">
        <is>
          <t>LARGE</t>
        </is>
      </c>
      <c r="K11" t="inlineStr">
        <is>
          <t>Approx median</t>
        </is>
      </c>
    </row>
    <row r="12">
      <c r="A12" s="2">
        <f>ROW()-ROW($A$5)+1</f>
        <v/>
      </c>
      <c r="B12" t="inlineStr">
        <is>
          <t>Aug</t>
        </is>
      </c>
      <c r="C12" t="inlineStr">
        <is>
          <t>2023</t>
        </is>
      </c>
      <c r="D12" s="8" t="n">
        <v>8.1</v>
      </c>
      <c r="E12" s="3">
        <f>IFERROR((D12-D11)/D11,NA())</f>
        <v/>
      </c>
      <c r="F12" s="8">
        <f>IFERROR(AVERAGE(OFFSET(D12,-2,0,3,1)),NA())</f>
        <v/>
      </c>
      <c r="H12" t="inlineStr">
        <is>
          <t>CoV</t>
        </is>
      </c>
      <c r="I12" s="3">
        <f>IFERROR(STDEV(D5:D28)/AVERAGE(D5:D28),0)</f>
        <v/>
      </c>
      <c r="J12" t="inlineStr">
        <is>
          <t>STDEV/AVERAGE</t>
        </is>
      </c>
      <c r="K12" t="inlineStr">
        <is>
          <t>Coeff of variation</t>
        </is>
      </c>
    </row>
    <row r="13">
      <c r="A13" s="2">
        <f>ROW()-ROW($A$5)+1</f>
        <v/>
      </c>
      <c r="B13" t="inlineStr">
        <is>
          <t>Sep</t>
        </is>
      </c>
      <c r="C13" t="inlineStr">
        <is>
          <t>2023</t>
        </is>
      </c>
      <c r="D13" s="8" t="n">
        <v>8.6</v>
      </c>
      <c r="E13" s="3">
        <f>IFERROR((D13-D12)/D12,NA())</f>
        <v/>
      </c>
      <c r="F13" s="8">
        <f>IFERROR(AVERAGE(OFFSET(D13,-2,0,3,1)),NA())</f>
        <v/>
      </c>
      <c r="H13" t="inlineStr">
        <is>
          <t>Q4 2024 OFFSET</t>
        </is>
      </c>
      <c r="I13" s="8">
        <f>IFERROR(AVERAGE(OFFSET(D28,-2,0,3,1)),0)</f>
        <v/>
      </c>
      <c r="J13" t="inlineStr">
        <is>
          <t>OFFSET</t>
        </is>
      </c>
      <c r="K13" t="inlineStr">
        <is>
          <t>Last 3 months</t>
        </is>
      </c>
    </row>
    <row r="14">
      <c r="A14" s="2">
        <f>ROW()-ROW($A$5)+1</f>
        <v/>
      </c>
      <c r="B14" t="inlineStr">
        <is>
          <t>Oct</t>
        </is>
      </c>
      <c r="C14" t="inlineStr">
        <is>
          <t>2023</t>
        </is>
      </c>
      <c r="D14" s="8" t="n">
        <v>9</v>
      </c>
      <c r="E14" s="3">
        <f>IFERROR((D14-D13)/D13,NA())</f>
        <v/>
      </c>
      <c r="F14" s="8">
        <f>IFERROR(AVERAGE(OFFSET(D14,-2,0,3,1)),NA())</f>
        <v/>
      </c>
      <c r="H14" t="inlineStr">
        <is>
          <t>H2 2024 OFFSET</t>
        </is>
      </c>
      <c r="I14" s="8">
        <f>IFERROR(SUM(OFFSET(D28,-5,0,6,1)),0)</f>
        <v/>
      </c>
      <c r="J14" t="inlineStr">
        <is>
          <t>OFFSET</t>
        </is>
      </c>
      <c r="K14" t="inlineStr">
        <is>
          <t>Last 6 months</t>
        </is>
      </c>
    </row>
    <row r="15">
      <c r="A15" s="2">
        <f>ROW()-ROW($A$5)+1</f>
        <v/>
      </c>
      <c r="B15" t="inlineStr">
        <is>
          <t>Nov</t>
        </is>
      </c>
      <c r="C15" t="inlineStr">
        <is>
          <t>2023</t>
        </is>
      </c>
      <c r="D15" s="8" t="n">
        <v>9.4</v>
      </c>
      <c r="E15" s="3">
        <f>IFERROR((D15-D14)/D14,NA())</f>
        <v/>
      </c>
      <c r="F15" s="8">
        <f>IFERROR(AVERAGE(OFFSET(D15,-2,0,3,1)),NA())</f>
        <v/>
      </c>
      <c r="H15" t="inlineStr">
        <is>
          <t>COLUMNS check</t>
        </is>
      </c>
      <c r="I15" s="2">
        <f>COLUMNS(A4:F4)</f>
        <v/>
      </c>
      <c r="J15" t="inlineStr">
        <is>
          <t>COLUMNS</t>
        </is>
      </c>
      <c r="K15" t="inlineStr">
        <is>
          <t>Fields in table</t>
        </is>
      </c>
    </row>
    <row r="16">
      <c r="A16" s="2">
        <f>ROW()-ROW($A$5)+1</f>
        <v/>
      </c>
      <c r="B16" t="inlineStr">
        <is>
          <t>Dec</t>
        </is>
      </c>
      <c r="C16" t="inlineStr">
        <is>
          <t>2023</t>
        </is>
      </c>
      <c r="D16" s="8" t="n">
        <v>9.9</v>
      </c>
      <c r="E16" s="3">
        <f>IFERROR((D16-D15)/D15,NA())</f>
        <v/>
      </c>
      <c r="F16" s="8">
        <f>IFERROR(AVERAGE(OFFSET(D16,-2,0,3,1)),NA())</f>
        <v/>
      </c>
    </row>
    <row r="17">
      <c r="A17" s="2">
        <f>ROW()-ROW($A$5)+1</f>
        <v/>
      </c>
      <c r="B17" t="inlineStr">
        <is>
          <t>Jan</t>
        </is>
      </c>
      <c r="C17" t="inlineStr">
        <is>
          <t>2024</t>
        </is>
      </c>
      <c r="D17" s="8" t="n">
        <v>10.2</v>
      </c>
      <c r="E17" s="3">
        <f>IFERROR((D17-D16)/D16,NA())</f>
        <v/>
      </c>
      <c r="F17" s="8">
        <f>IFERROR(AVERAGE(OFFSET(D17,-2,0,3,1)),NA())</f>
        <v/>
      </c>
      <c r="H17" t="inlineStr">
        <is>
          <t>NORMAL DISTRIBUTION TABLE</t>
        </is>
      </c>
    </row>
    <row r="18">
      <c r="A18" s="2">
        <f>ROW()-ROW($A$5)+1</f>
        <v/>
      </c>
      <c r="B18" t="inlineStr">
        <is>
          <t>Feb</t>
        </is>
      </c>
      <c r="C18" t="inlineStr">
        <is>
          <t>2024</t>
        </is>
      </c>
      <c r="D18" s="8" t="n">
        <v>10.8</v>
      </c>
      <c r="E18" s="3">
        <f>IFERROR((D18-D17)/D17,NA())</f>
        <v/>
      </c>
      <c r="F18" s="8">
        <f>IFERROR(AVERAGE(OFFSET(D18,-2,0,3,1)),NA())</f>
        <v/>
      </c>
      <c r="H18" t="inlineStr">
        <is>
          <t>Month</t>
        </is>
      </c>
      <c r="I18" t="inlineStr">
        <is>
          <t>Revenue</t>
        </is>
      </c>
      <c r="J18" t="inlineStr">
        <is>
          <t>Z-Score</t>
        </is>
      </c>
      <c r="K18" t="inlineStr">
        <is>
          <t>CDF (NORMDIST)</t>
        </is>
      </c>
      <c r="L18" t="inlineStr">
        <is>
          <t>Above/Below Mean</t>
        </is>
      </c>
      <c r="M18" t="inlineStr">
        <is>
          <t>Probability Band</t>
        </is>
      </c>
    </row>
    <row r="19">
      <c r="A19" s="2">
        <f>ROW()-ROW($A$5)+1</f>
        <v/>
      </c>
      <c r="B19" t="inlineStr">
        <is>
          <t>Mar</t>
        </is>
      </c>
      <c r="C19" t="inlineStr">
        <is>
          <t>2024</t>
        </is>
      </c>
      <c r="D19" s="8" t="n">
        <v>11.3</v>
      </c>
      <c r="E19" s="3">
        <f>IFERROR((D19-D18)/D18,NA())</f>
        <v/>
      </c>
      <c r="F19" s="8">
        <f>IFERROR(AVERAGE(OFFSET(D19,-2,0,3,1)),NA())</f>
        <v/>
      </c>
      <c r="H19">
        <f>B5&amp;" "&amp;C5</f>
        <v/>
      </c>
      <c r="I19" s="8">
        <f>D5</f>
        <v/>
      </c>
      <c r="J19" s="9">
        <f>IFERROR((I19-AVERAGE($D$5:$D$28))/STDEV($D$5:$D$28),0)</f>
        <v/>
      </c>
      <c r="K19" s="3">
        <f>IFERROR(NORMDIST(I19,AVERAGE($D$5:$D$28),STDEV($D$5:$D$28),TRUE),0)</f>
        <v/>
      </c>
      <c r="L19">
        <f>IF(J19&gt;0,"Above","Below")</f>
        <v/>
      </c>
      <c r="M19">
        <f>IF(ABS(J19)&lt;=1,"Within 1σ",IF(ABS(J19)&lt;=2,"Within 2σ","Outlier &gt;2σ"))</f>
        <v/>
      </c>
    </row>
    <row r="20">
      <c r="A20" s="2">
        <f>ROW()-ROW($A$5)+1</f>
        <v/>
      </c>
      <c r="B20" t="inlineStr">
        <is>
          <t>Apr</t>
        </is>
      </c>
      <c r="C20" t="inlineStr">
        <is>
          <t>2024</t>
        </is>
      </c>
      <c r="D20" s="8" t="n">
        <v>11.9</v>
      </c>
      <c r="E20" s="3">
        <f>IFERROR((D20-D19)/D19,NA())</f>
        <v/>
      </c>
      <c r="F20" s="8">
        <f>IFERROR(AVERAGE(OFFSET(D20,-2,0,3,1)),NA())</f>
        <v/>
      </c>
      <c r="H20">
        <f>B6&amp;" "&amp;C6</f>
        <v/>
      </c>
      <c r="I20" s="8">
        <f>D6</f>
        <v/>
      </c>
      <c r="J20" s="9">
        <f>IFERROR((I20-AVERAGE($D$5:$D$28))/STDEV($D$5:$D$28),0)</f>
        <v/>
      </c>
      <c r="K20" s="3">
        <f>IFERROR(NORMDIST(I20,AVERAGE($D$5:$D$28),STDEV($D$5:$D$28),TRUE),0)</f>
        <v/>
      </c>
      <c r="L20">
        <f>IF(J20&gt;0,"Above","Below")</f>
        <v/>
      </c>
      <c r="M20">
        <f>IF(ABS(J20)&lt;=1,"Within 1σ",IF(ABS(J20)&lt;=2,"Within 2σ","Outlier &gt;2σ"))</f>
        <v/>
      </c>
    </row>
    <row r="21">
      <c r="A21" s="2">
        <f>ROW()-ROW($A$5)+1</f>
        <v/>
      </c>
      <c r="B21" t="inlineStr">
        <is>
          <t>May</t>
        </is>
      </c>
      <c r="C21" t="inlineStr">
        <is>
          <t>2024</t>
        </is>
      </c>
      <c r="D21" s="8" t="n">
        <v>12.4</v>
      </c>
      <c r="E21" s="3">
        <f>IFERROR((D21-D20)/D20,NA())</f>
        <v/>
      </c>
      <c r="F21" s="8">
        <f>IFERROR(AVERAGE(OFFSET(D21,-2,0,3,1)),NA())</f>
        <v/>
      </c>
      <c r="H21">
        <f>B7&amp;" "&amp;C7</f>
        <v/>
      </c>
      <c r="I21" s="8">
        <f>D7</f>
        <v/>
      </c>
      <c r="J21" s="9">
        <f>IFERROR((I21-AVERAGE($D$5:$D$28))/STDEV($D$5:$D$28),0)</f>
        <v/>
      </c>
      <c r="K21" s="3">
        <f>IFERROR(NORMDIST(I21,AVERAGE($D$5:$D$28),STDEV($D$5:$D$28),TRUE),0)</f>
        <v/>
      </c>
      <c r="L21">
        <f>IF(J21&gt;0,"Above","Below")</f>
        <v/>
      </c>
      <c r="M21">
        <f>IF(ABS(J21)&lt;=1,"Within 1σ",IF(ABS(J21)&lt;=2,"Within 2σ","Outlier &gt;2σ"))</f>
        <v/>
      </c>
    </row>
    <row r="22">
      <c r="A22" s="2">
        <f>ROW()-ROW($A$5)+1</f>
        <v/>
      </c>
      <c r="B22" t="inlineStr">
        <is>
          <t>Jun</t>
        </is>
      </c>
      <c r="C22" t="inlineStr">
        <is>
          <t>2024</t>
        </is>
      </c>
      <c r="D22" s="8" t="n">
        <v>13</v>
      </c>
      <c r="E22" s="3">
        <f>IFERROR((D22-D21)/D21,NA())</f>
        <v/>
      </c>
      <c r="F22" s="8">
        <f>IFERROR(AVERAGE(OFFSET(D22,-2,0,3,1)),NA())</f>
        <v/>
      </c>
      <c r="H22">
        <f>B8&amp;" "&amp;C8</f>
        <v/>
      </c>
      <c r="I22" s="8">
        <f>D8</f>
        <v/>
      </c>
      <c r="J22" s="9">
        <f>IFERROR((I22-AVERAGE($D$5:$D$28))/STDEV($D$5:$D$28),0)</f>
        <v/>
      </c>
      <c r="K22" s="3">
        <f>IFERROR(NORMDIST(I22,AVERAGE($D$5:$D$28),STDEV($D$5:$D$28),TRUE),0)</f>
        <v/>
      </c>
      <c r="L22">
        <f>IF(J22&gt;0,"Above","Below")</f>
        <v/>
      </c>
      <c r="M22">
        <f>IF(ABS(J22)&lt;=1,"Within 1σ",IF(ABS(J22)&lt;=2,"Within 2σ","Outlier &gt;2σ"))</f>
        <v/>
      </c>
    </row>
    <row r="23">
      <c r="A23" s="2">
        <f>ROW()-ROW($A$5)+1</f>
        <v/>
      </c>
      <c r="B23" t="inlineStr">
        <is>
          <t>Jul</t>
        </is>
      </c>
      <c r="C23" t="inlineStr">
        <is>
          <t>2024</t>
        </is>
      </c>
      <c r="D23" s="8" t="n">
        <v>12.7</v>
      </c>
      <c r="E23" s="3">
        <f>IFERROR((D23-D22)/D22,NA())</f>
        <v/>
      </c>
      <c r="F23" s="8">
        <f>IFERROR(AVERAGE(OFFSET(D23,-2,0,3,1)),NA())</f>
        <v/>
      </c>
      <c r="H23">
        <f>B9&amp;" "&amp;C9</f>
        <v/>
      </c>
      <c r="I23" s="8">
        <f>D9</f>
        <v/>
      </c>
      <c r="J23" s="9">
        <f>IFERROR((I23-AVERAGE($D$5:$D$28))/STDEV($D$5:$D$28),0)</f>
        <v/>
      </c>
      <c r="K23" s="3">
        <f>IFERROR(NORMDIST(I23,AVERAGE($D$5:$D$28),STDEV($D$5:$D$28),TRUE),0)</f>
        <v/>
      </c>
      <c r="L23">
        <f>IF(J23&gt;0,"Above","Below")</f>
        <v/>
      </c>
      <c r="M23">
        <f>IF(ABS(J23)&lt;=1,"Within 1σ",IF(ABS(J23)&lt;=2,"Within 2σ","Outlier &gt;2σ"))</f>
        <v/>
      </c>
    </row>
    <row r="24">
      <c r="A24" s="2">
        <f>ROW()-ROW($A$5)+1</f>
        <v/>
      </c>
      <c r="B24" t="inlineStr">
        <is>
          <t>Aug</t>
        </is>
      </c>
      <c r="C24" t="inlineStr">
        <is>
          <t>2024</t>
        </is>
      </c>
      <c r="D24" s="8" t="n">
        <v>13.5</v>
      </c>
      <c r="E24" s="3">
        <f>IFERROR((D24-D23)/D23,NA())</f>
        <v/>
      </c>
      <c r="F24" s="8">
        <f>IFERROR(AVERAGE(OFFSET(D24,-2,0,3,1)),NA())</f>
        <v/>
      </c>
      <c r="H24">
        <f>B10&amp;" "&amp;C10</f>
        <v/>
      </c>
      <c r="I24" s="8">
        <f>D10</f>
        <v/>
      </c>
      <c r="J24" s="9">
        <f>IFERROR((I24-AVERAGE($D$5:$D$28))/STDEV($D$5:$D$28),0)</f>
        <v/>
      </c>
      <c r="K24" s="3">
        <f>IFERROR(NORMDIST(I24,AVERAGE($D$5:$D$28),STDEV($D$5:$D$28),TRUE),0)</f>
        <v/>
      </c>
      <c r="L24">
        <f>IF(J24&gt;0,"Above","Below")</f>
        <v/>
      </c>
      <c r="M24">
        <f>IF(ABS(J24)&lt;=1,"Within 1σ",IF(ABS(J24)&lt;=2,"Within 2σ","Outlier &gt;2σ"))</f>
        <v/>
      </c>
    </row>
    <row r="25">
      <c r="A25" s="2">
        <f>ROW()-ROW($A$5)+1</f>
        <v/>
      </c>
      <c r="B25" t="inlineStr">
        <is>
          <t>Sep</t>
        </is>
      </c>
      <c r="C25" t="inlineStr">
        <is>
          <t>2024</t>
        </is>
      </c>
      <c r="D25" s="8" t="n">
        <v>14.1</v>
      </c>
      <c r="E25" s="3">
        <f>IFERROR((D25-D24)/D24,NA())</f>
        <v/>
      </c>
      <c r="F25" s="8">
        <f>IFERROR(AVERAGE(OFFSET(D25,-2,0,3,1)),NA())</f>
        <v/>
      </c>
      <c r="H25">
        <f>B11&amp;" "&amp;C11</f>
        <v/>
      </c>
      <c r="I25" s="8">
        <f>D11</f>
        <v/>
      </c>
      <c r="J25" s="9">
        <f>IFERROR((I25-AVERAGE($D$5:$D$28))/STDEV($D$5:$D$28),0)</f>
        <v/>
      </c>
      <c r="K25" s="3">
        <f>IFERROR(NORMDIST(I25,AVERAGE($D$5:$D$28),STDEV($D$5:$D$28),TRUE),0)</f>
        <v/>
      </c>
      <c r="L25">
        <f>IF(J25&gt;0,"Above","Below")</f>
        <v/>
      </c>
      <c r="M25">
        <f>IF(ABS(J25)&lt;=1,"Within 1σ",IF(ABS(J25)&lt;=2,"Within 2σ","Outlier &gt;2σ"))</f>
        <v/>
      </c>
    </row>
    <row r="26">
      <c r="A26" s="2">
        <f>ROW()-ROW($A$5)+1</f>
        <v/>
      </c>
      <c r="B26" t="inlineStr">
        <is>
          <t>Oct</t>
        </is>
      </c>
      <c r="C26" t="inlineStr">
        <is>
          <t>2024</t>
        </is>
      </c>
      <c r="D26" s="8" t="n">
        <v>14.8</v>
      </c>
      <c r="E26" s="3">
        <f>IFERROR((D26-D25)/D25,NA())</f>
        <v/>
      </c>
      <c r="F26" s="8">
        <f>IFERROR(AVERAGE(OFFSET(D26,-2,0,3,1)),NA())</f>
        <v/>
      </c>
      <c r="H26">
        <f>B12&amp;" "&amp;C12</f>
        <v/>
      </c>
      <c r="I26" s="8">
        <f>D12</f>
        <v/>
      </c>
      <c r="J26" s="9">
        <f>IFERROR((I26-AVERAGE($D$5:$D$28))/STDEV($D$5:$D$28),0)</f>
        <v/>
      </c>
      <c r="K26" s="3">
        <f>IFERROR(NORMDIST(I26,AVERAGE($D$5:$D$28),STDEV($D$5:$D$28),TRUE),0)</f>
        <v/>
      </c>
      <c r="L26">
        <f>IF(J26&gt;0,"Above","Below")</f>
        <v/>
      </c>
      <c r="M26">
        <f>IF(ABS(J26)&lt;=1,"Within 1σ",IF(ABS(J26)&lt;=2,"Within 2σ","Outlier &gt;2σ"))</f>
        <v/>
      </c>
    </row>
    <row r="27">
      <c r="A27" s="2">
        <f>ROW()-ROW($A$5)+1</f>
        <v/>
      </c>
      <c r="B27" t="inlineStr">
        <is>
          <t>Nov</t>
        </is>
      </c>
      <c r="C27" t="inlineStr">
        <is>
          <t>2024</t>
        </is>
      </c>
      <c r="D27" s="8" t="n">
        <v>15.6</v>
      </c>
      <c r="E27" s="3">
        <f>IFERROR((D27-D26)/D26,NA())</f>
        <v/>
      </c>
      <c r="F27" s="8">
        <f>IFERROR(AVERAGE(OFFSET(D27,-2,0,3,1)),NA())</f>
        <v/>
      </c>
      <c r="H27">
        <f>B13&amp;" "&amp;C13</f>
        <v/>
      </c>
      <c r="I27" s="8">
        <f>D13</f>
        <v/>
      </c>
      <c r="J27" s="9">
        <f>IFERROR((I27-AVERAGE($D$5:$D$28))/STDEV($D$5:$D$28),0)</f>
        <v/>
      </c>
      <c r="K27" s="3">
        <f>IFERROR(NORMDIST(I27,AVERAGE($D$5:$D$28),STDEV($D$5:$D$28),TRUE),0)</f>
        <v/>
      </c>
      <c r="L27">
        <f>IF(J27&gt;0,"Above","Below")</f>
        <v/>
      </c>
      <c r="M27">
        <f>IF(ABS(J27)&lt;=1,"Within 1σ",IF(ABS(J27)&lt;=2,"Within 2σ","Outlier &gt;2σ"))</f>
        <v/>
      </c>
    </row>
    <row r="28">
      <c r="A28" s="2">
        <f>ROW()-ROW($A$5)+1</f>
        <v/>
      </c>
      <c r="B28" t="inlineStr">
        <is>
          <t>Dec</t>
        </is>
      </c>
      <c r="C28" t="inlineStr">
        <is>
          <t>2024</t>
        </is>
      </c>
      <c r="D28" s="8" t="n">
        <v>16.2</v>
      </c>
      <c r="E28" s="3">
        <f>IFERROR((D28-D27)/D27,NA())</f>
        <v/>
      </c>
      <c r="F28" s="8">
        <f>IFERROR(AVERAGE(OFFSET(D28,-2,0,3,1)),NA())</f>
        <v/>
      </c>
      <c r="H28">
        <f>B14&amp;" "&amp;C14</f>
        <v/>
      </c>
      <c r="I28" s="8">
        <f>D14</f>
        <v/>
      </c>
      <c r="J28" s="9">
        <f>IFERROR((I28-AVERAGE($D$5:$D$28))/STDEV($D$5:$D$28),0)</f>
        <v/>
      </c>
      <c r="K28" s="3">
        <f>IFERROR(NORMDIST(I28,AVERAGE($D$5:$D$28),STDEV($D$5:$D$28),TRUE),0)</f>
        <v/>
      </c>
      <c r="L28">
        <f>IF(J28&gt;0,"Above","Below")</f>
        <v/>
      </c>
      <c r="M28">
        <f>IF(ABS(J28)&lt;=1,"Within 1σ",IF(ABS(J28)&lt;=2,"Within 2σ","Outlier &gt;2σ"))</f>
        <v/>
      </c>
    </row>
    <row r="29">
      <c r="H29">
        <f>B15&amp;" "&amp;C15</f>
        <v/>
      </c>
      <c r="I29" s="8">
        <f>D15</f>
        <v/>
      </c>
      <c r="J29" s="9">
        <f>IFERROR((I29-AVERAGE($D$5:$D$28))/STDEV($D$5:$D$28),0)</f>
        <v/>
      </c>
      <c r="K29" s="3">
        <f>IFERROR(NORMDIST(I29,AVERAGE($D$5:$D$28),STDEV($D$5:$D$28),TRUE),0)</f>
        <v/>
      </c>
      <c r="L29">
        <f>IF(J29&gt;0,"Above","Below")</f>
        <v/>
      </c>
      <c r="M29">
        <f>IF(ABS(J29)&lt;=1,"Within 1σ",IF(ABS(J29)&lt;=2,"Within 2σ","Outlier &gt;2σ"))</f>
        <v/>
      </c>
    </row>
    <row r="30">
      <c r="H30">
        <f>B16&amp;" "&amp;C16</f>
        <v/>
      </c>
      <c r="I30" s="8">
        <f>D16</f>
        <v/>
      </c>
      <c r="J30" s="9">
        <f>IFERROR((I30-AVERAGE($D$5:$D$28))/STDEV($D$5:$D$28),0)</f>
        <v/>
      </c>
      <c r="K30" s="3">
        <f>IFERROR(NORMDIST(I30,AVERAGE($D$5:$D$28),STDEV($D$5:$D$28),TRUE),0)</f>
        <v/>
      </c>
      <c r="L30">
        <f>IF(J30&gt;0,"Above","Below")</f>
        <v/>
      </c>
      <c r="M30">
        <f>IF(ABS(J30)&lt;=1,"Within 1σ",IF(ABS(J30)&lt;=2,"Within 2σ","Outlier &gt;2σ"))</f>
        <v/>
      </c>
    </row>
    <row r="31">
      <c r="H31">
        <f>B17&amp;" "&amp;C17</f>
        <v/>
      </c>
      <c r="I31" s="8">
        <f>D17</f>
        <v/>
      </c>
      <c r="J31" s="9">
        <f>IFERROR((I31-AVERAGE($D$5:$D$28))/STDEV($D$5:$D$28),0)</f>
        <v/>
      </c>
      <c r="K31" s="3">
        <f>IFERROR(NORMDIST(I31,AVERAGE($D$5:$D$28),STDEV($D$5:$D$28),TRUE),0)</f>
        <v/>
      </c>
      <c r="L31">
        <f>IF(J31&gt;0,"Above","Below")</f>
        <v/>
      </c>
      <c r="M31">
        <f>IF(ABS(J31)&lt;=1,"Within 1σ",IF(ABS(J31)&lt;=2,"Within 2σ","Outlier &gt;2σ"))</f>
        <v/>
      </c>
    </row>
    <row r="32">
      <c r="H32">
        <f>B18&amp;" "&amp;C18</f>
        <v/>
      </c>
      <c r="I32" s="8">
        <f>D18</f>
        <v/>
      </c>
      <c r="J32" s="9">
        <f>IFERROR((I32-AVERAGE($D$5:$D$28))/STDEV($D$5:$D$28),0)</f>
        <v/>
      </c>
      <c r="K32" s="3">
        <f>IFERROR(NORMDIST(I32,AVERAGE($D$5:$D$28),STDEV($D$5:$D$28),TRUE),0)</f>
        <v/>
      </c>
      <c r="L32">
        <f>IF(J32&gt;0,"Above","Below")</f>
        <v/>
      </c>
      <c r="M32">
        <f>IF(ABS(J32)&lt;=1,"Within 1σ",IF(ABS(J32)&lt;=2,"Within 2σ","Outlier &gt;2σ"))</f>
        <v/>
      </c>
    </row>
    <row r="33">
      <c r="H33">
        <f>B19&amp;" "&amp;C19</f>
        <v/>
      </c>
      <c r="I33" s="8">
        <f>D19</f>
        <v/>
      </c>
      <c r="J33" s="9">
        <f>IFERROR((I33-AVERAGE($D$5:$D$28))/STDEV($D$5:$D$28),0)</f>
        <v/>
      </c>
      <c r="K33" s="3">
        <f>IFERROR(NORMDIST(I33,AVERAGE($D$5:$D$28),STDEV($D$5:$D$28),TRUE),0)</f>
        <v/>
      </c>
      <c r="L33">
        <f>IF(J33&gt;0,"Above","Below")</f>
        <v/>
      </c>
      <c r="M33">
        <f>IF(ABS(J33)&lt;=1,"Within 1σ",IF(ABS(J33)&lt;=2,"Within 2σ","Outlier &gt;2σ"))</f>
        <v/>
      </c>
    </row>
    <row r="34">
      <c r="H34">
        <f>B20&amp;" "&amp;C20</f>
        <v/>
      </c>
      <c r="I34" s="8">
        <f>D20</f>
        <v/>
      </c>
      <c r="J34" s="9">
        <f>IFERROR((I34-AVERAGE($D$5:$D$28))/STDEV($D$5:$D$28),0)</f>
        <v/>
      </c>
      <c r="K34" s="3">
        <f>IFERROR(NORMDIST(I34,AVERAGE($D$5:$D$28),STDEV($D$5:$D$28),TRUE),0)</f>
        <v/>
      </c>
      <c r="L34">
        <f>IF(J34&gt;0,"Above","Below")</f>
        <v/>
      </c>
      <c r="M34">
        <f>IF(ABS(J34)&lt;=1,"Within 1σ",IF(ABS(J34)&lt;=2,"Within 2σ","Outlier &gt;2σ"))</f>
        <v/>
      </c>
    </row>
    <row r="35">
      <c r="H35">
        <f>B21&amp;" "&amp;C21</f>
        <v/>
      </c>
      <c r="I35" s="8">
        <f>D21</f>
        <v/>
      </c>
      <c r="J35" s="9">
        <f>IFERROR((I35-AVERAGE($D$5:$D$28))/STDEV($D$5:$D$28),0)</f>
        <v/>
      </c>
      <c r="K35" s="3">
        <f>IFERROR(NORMDIST(I35,AVERAGE($D$5:$D$28),STDEV($D$5:$D$28),TRUE),0)</f>
        <v/>
      </c>
      <c r="L35">
        <f>IF(J35&gt;0,"Above","Below")</f>
        <v/>
      </c>
      <c r="M35">
        <f>IF(ABS(J35)&lt;=1,"Within 1σ",IF(ABS(J35)&lt;=2,"Within 2σ","Outlier &gt;2σ"))</f>
        <v/>
      </c>
    </row>
    <row r="36">
      <c r="H36">
        <f>B22&amp;" "&amp;C22</f>
        <v/>
      </c>
      <c r="I36" s="8">
        <f>D22</f>
        <v/>
      </c>
      <c r="J36" s="9">
        <f>IFERROR((I36-AVERAGE($D$5:$D$28))/STDEV($D$5:$D$28),0)</f>
        <v/>
      </c>
      <c r="K36" s="3">
        <f>IFERROR(NORMDIST(I36,AVERAGE($D$5:$D$28),STDEV($D$5:$D$28),TRUE),0)</f>
        <v/>
      </c>
      <c r="L36">
        <f>IF(J36&gt;0,"Above","Below")</f>
        <v/>
      </c>
      <c r="M36">
        <f>IF(ABS(J36)&lt;=1,"Within 1σ",IF(ABS(J36)&lt;=2,"Within 2σ","Outlier &gt;2σ"))</f>
        <v/>
      </c>
    </row>
    <row r="37">
      <c r="H37">
        <f>B23&amp;" "&amp;C23</f>
        <v/>
      </c>
      <c r="I37" s="8">
        <f>D23</f>
        <v/>
      </c>
      <c r="J37" s="9">
        <f>IFERROR((I37-AVERAGE($D$5:$D$28))/STDEV($D$5:$D$28),0)</f>
        <v/>
      </c>
      <c r="K37" s="3">
        <f>IFERROR(NORMDIST(I37,AVERAGE($D$5:$D$28),STDEV($D$5:$D$28),TRUE),0)</f>
        <v/>
      </c>
      <c r="L37">
        <f>IF(J37&gt;0,"Above","Below")</f>
        <v/>
      </c>
      <c r="M37">
        <f>IF(ABS(J37)&lt;=1,"Within 1σ",IF(ABS(J37)&lt;=2,"Within 2σ","Outlier &gt;2σ"))</f>
        <v/>
      </c>
    </row>
    <row r="38">
      <c r="H38">
        <f>B24&amp;" "&amp;C24</f>
        <v/>
      </c>
      <c r="I38" s="8">
        <f>D24</f>
        <v/>
      </c>
      <c r="J38" s="9">
        <f>IFERROR((I38-AVERAGE($D$5:$D$28))/STDEV($D$5:$D$28),0)</f>
        <v/>
      </c>
      <c r="K38" s="3">
        <f>IFERROR(NORMDIST(I38,AVERAGE($D$5:$D$28),STDEV($D$5:$D$28),TRUE),0)</f>
        <v/>
      </c>
      <c r="L38">
        <f>IF(J38&gt;0,"Above","Below")</f>
        <v/>
      </c>
      <c r="M38">
        <f>IF(ABS(J38)&lt;=1,"Within 1σ",IF(ABS(J38)&lt;=2,"Within 2σ","Outlier &gt;2σ"))</f>
        <v/>
      </c>
    </row>
    <row r="39">
      <c r="H39">
        <f>B25&amp;" "&amp;C25</f>
        <v/>
      </c>
      <c r="I39" s="8">
        <f>D25</f>
        <v/>
      </c>
      <c r="J39" s="9">
        <f>IFERROR((I39-AVERAGE($D$5:$D$28))/STDEV($D$5:$D$28),0)</f>
        <v/>
      </c>
      <c r="K39" s="3">
        <f>IFERROR(NORMDIST(I39,AVERAGE($D$5:$D$28),STDEV($D$5:$D$28),TRUE),0)</f>
        <v/>
      </c>
      <c r="L39">
        <f>IF(J39&gt;0,"Above","Below")</f>
        <v/>
      </c>
      <c r="M39">
        <f>IF(ABS(J39)&lt;=1,"Within 1σ",IF(ABS(J39)&lt;=2,"Within 2σ","Outlier &gt;2σ"))</f>
        <v/>
      </c>
    </row>
    <row r="40">
      <c r="H40">
        <f>B26&amp;" "&amp;C26</f>
        <v/>
      </c>
      <c r="I40" s="8">
        <f>D26</f>
        <v/>
      </c>
      <c r="J40" s="9">
        <f>IFERROR((I40-AVERAGE($D$5:$D$28))/STDEV($D$5:$D$28),0)</f>
        <v/>
      </c>
      <c r="K40" s="3">
        <f>IFERROR(NORMDIST(I40,AVERAGE($D$5:$D$28),STDEV($D$5:$D$28),TRUE),0)</f>
        <v/>
      </c>
      <c r="L40">
        <f>IF(J40&gt;0,"Above","Below")</f>
        <v/>
      </c>
      <c r="M40">
        <f>IF(ABS(J40)&lt;=1,"Within 1σ",IF(ABS(J40)&lt;=2,"Within 2σ","Outlier &gt;2σ"))</f>
        <v/>
      </c>
    </row>
    <row r="41">
      <c r="H41">
        <f>B27&amp;" "&amp;C27</f>
        <v/>
      </c>
      <c r="I41" s="8">
        <f>D27</f>
        <v/>
      </c>
      <c r="J41" s="9">
        <f>IFERROR((I41-AVERAGE($D$5:$D$28))/STDEV($D$5:$D$28),0)</f>
        <v/>
      </c>
      <c r="K41" s="3">
        <f>IFERROR(NORMDIST(I41,AVERAGE($D$5:$D$28),STDEV($D$5:$D$28),TRUE),0)</f>
        <v/>
      </c>
      <c r="L41">
        <f>IF(J41&gt;0,"Above","Below")</f>
        <v/>
      </c>
      <c r="M41">
        <f>IF(ABS(J41)&lt;=1,"Within 1σ",IF(ABS(J41)&lt;=2,"Within 2σ","Outlier &gt;2σ"))</f>
        <v/>
      </c>
    </row>
    <row r="42">
      <c r="H42">
        <f>B28&amp;" "&amp;C28</f>
        <v/>
      </c>
      <c r="I42" s="8">
        <f>D28</f>
        <v/>
      </c>
      <c r="J42" s="9">
        <f>IFERROR((I42-AVERAGE($D$5:$D$28))/STDEV($D$5:$D$28),0)</f>
        <v/>
      </c>
      <c r="K42" s="3">
        <f>IFERROR(NORMDIST(I42,AVERAGE($D$5:$D$28),STDEV($D$5:$D$28),TRUE),0)</f>
        <v/>
      </c>
      <c r="L42">
        <f>IF(J42&gt;0,"Above","Below")</f>
        <v/>
      </c>
      <c r="M42">
        <f>IF(ABS(J42)&lt;=1,"Within 1σ",IF(ABS(J42)&lt;=2,"Within 2σ","Outlier &gt;2σ"))</f>
        <v/>
      </c>
    </row>
  </sheetData>
  <mergeCells count="3">
    <mergeCell ref="A3:F3"/>
    <mergeCell ref="H3:K3"/>
    <mergeCell ref="H17:M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💰  DCF Valuation — NPV, IF, AND, OR, TEXT, ROUND, IFERROR</t>
        </is>
      </c>
    </row>
    <row r="2"/>
    <row r="3">
      <c r="A3" t="inlineStr">
        <is>
          <t>FREE CASH FLOW PROJECTIONS  ($M)</t>
        </is>
      </c>
    </row>
    <row r="4">
      <c r="A4" t="inlineStr">
        <is>
          <t>Line Item</t>
        </is>
      </c>
      <c r="B4" t="inlineStr">
        <is>
          <t>2025</t>
        </is>
      </c>
      <c r="C4" t="inlineStr">
        <is>
          <t>2026</t>
        </is>
      </c>
      <c r="D4" t="inlineStr">
        <is>
          <t>2027</t>
        </is>
      </c>
      <c r="E4" t="inlineStr">
        <is>
          <t>2028</t>
        </is>
      </c>
      <c r="F4" t="inlineStr">
        <is>
          <t>2029</t>
        </is>
      </c>
      <c r="G4" t="inlineStr">
        <is>
          <t>2030</t>
        </is>
      </c>
    </row>
    <row r="5">
      <c r="B5" s="1">
        <f>'Revenue Model'!B8</f>
        <v/>
      </c>
      <c r="C5" s="1">
        <f>'Revenue Model'!C8</f>
        <v/>
      </c>
      <c r="D5" s="1">
        <f>'Revenue Model'!D8</f>
        <v/>
      </c>
      <c r="E5" s="1">
        <f>'Revenue Model'!E8</f>
        <v/>
      </c>
      <c r="F5" s="1">
        <f>'Revenue Model'!F8</f>
        <v/>
      </c>
      <c r="G5" s="1">
        <f>'Revenue Model'!G8</f>
        <v/>
      </c>
    </row>
    <row r="6">
      <c r="B6" s="1">
        <f>'Revenue Model'!B13</f>
        <v/>
      </c>
      <c r="C6" s="1">
        <f>'Revenue Model'!C13</f>
        <v/>
      </c>
      <c r="D6" s="1">
        <f>'Revenue Model'!D13</f>
        <v/>
      </c>
      <c r="E6" s="1">
        <f>'Revenue Model'!E13</f>
        <v/>
      </c>
      <c r="F6" s="1">
        <f>'Revenue Model'!F13</f>
        <v/>
      </c>
      <c r="G6" s="1">
        <f>'Revenue Model'!G13</f>
        <v/>
      </c>
    </row>
    <row r="7">
      <c r="B7" s="1">
        <f>'Revenue Model'!B15</f>
        <v/>
      </c>
      <c r="C7" s="1">
        <f>'Revenue Model'!C15</f>
        <v/>
      </c>
      <c r="D7" s="1">
        <f>'Revenue Model'!D15</f>
        <v/>
      </c>
      <c r="E7" s="1">
        <f>'Revenue Model'!E15</f>
        <v/>
      </c>
      <c r="F7" s="1">
        <f>'Revenue Model'!F15</f>
        <v/>
      </c>
      <c r="G7" s="1">
        <f>'Revenue Model'!G15</f>
        <v/>
      </c>
    </row>
    <row r="8">
      <c r="B8" s="1">
        <f>'Revenue Model'!B16</f>
        <v/>
      </c>
      <c r="C8" s="1">
        <f>'Revenue Model'!C16</f>
        <v/>
      </c>
      <c r="D8" s="1">
        <f>'Revenue Model'!D16</f>
        <v/>
      </c>
      <c r="E8" s="1">
        <f>'Revenue Model'!E16</f>
        <v/>
      </c>
      <c r="F8" s="1">
        <f>'Revenue Model'!F16</f>
        <v/>
      </c>
      <c r="G8" s="1">
        <f>'Revenue Model'!G16</f>
        <v/>
      </c>
    </row>
    <row r="9">
      <c r="B9" s="1">
        <f>'Revenue Model'!B18</f>
        <v/>
      </c>
      <c r="C9" s="1">
        <f>'Revenue Model'!C18</f>
        <v/>
      </c>
      <c r="D9" s="1">
        <f>'Revenue Model'!D18</f>
        <v/>
      </c>
      <c r="E9" s="1">
        <f>'Revenue Model'!E18</f>
        <v/>
      </c>
      <c r="F9" s="1">
        <f>'Revenue Model'!F18</f>
        <v/>
      </c>
      <c r="G9" s="1">
        <f>'Revenue Model'!G18</f>
        <v/>
      </c>
    </row>
    <row r="10">
      <c r="B10" s="1">
        <f>B8-B9</f>
        <v/>
      </c>
      <c r="C10" s="1">
        <f>C8-C9</f>
        <v/>
      </c>
      <c r="D10" s="1">
        <f>D8-D9</f>
        <v/>
      </c>
      <c r="E10" s="1">
        <f>E8-E9</f>
        <v/>
      </c>
      <c r="F10" s="1">
        <f>F8-F9</f>
        <v/>
      </c>
      <c r="G10" s="1">
        <f>G8-G9</f>
        <v/>
      </c>
    </row>
    <row r="11">
      <c r="B11" s="1">
        <f>B7</f>
        <v/>
      </c>
      <c r="C11" s="1">
        <f>C7</f>
        <v/>
      </c>
      <c r="D11" s="1">
        <f>D7</f>
        <v/>
      </c>
      <c r="E11" s="1">
        <f>E7</f>
        <v/>
      </c>
      <c r="F11" s="1">
        <f>F7</f>
        <v/>
      </c>
      <c r="G11" s="1">
        <f>G7</f>
        <v/>
      </c>
    </row>
    <row r="12">
      <c r="B12" s="1">
        <f>-ROUND(B5*Assumptions!$B$23,2)</f>
        <v/>
      </c>
      <c r="C12" s="1">
        <f>-ROUND(C5*Assumptions!$B$23,2)</f>
        <v/>
      </c>
      <c r="D12" s="1">
        <f>-ROUND(D5*Assumptions!$B$23,2)</f>
        <v/>
      </c>
      <c r="E12" s="1">
        <f>-ROUND(E5*Assumptions!$B$23,2)</f>
        <v/>
      </c>
      <c r="F12" s="1">
        <f>-ROUND(F5*Assumptions!$B$23,2)</f>
        <v/>
      </c>
      <c r="G12" s="1">
        <f>-ROUND(G5*Assumptions!$B$23,2)</f>
        <v/>
      </c>
    </row>
    <row r="13">
      <c r="B13" s="1" t="n">
        <v>-2.56</v>
      </c>
      <c r="C13">
        <f>ROUND(-C5*0.03,2)</f>
        <v/>
      </c>
      <c r="D13">
        <f>ROUND(-D5*0.03,2)</f>
        <v/>
      </c>
      <c r="E13">
        <f>ROUND(-E5*0.03,2)</f>
        <v/>
      </c>
      <c r="F13">
        <f>ROUND(-F5*0.03,2)</f>
        <v/>
      </c>
      <c r="G13">
        <f>ROUND(-G5*0.03,2)</f>
        <v/>
      </c>
    </row>
    <row r="14">
      <c r="A14" t="inlineStr">
        <is>
          <t>Free Cash Flow</t>
        </is>
      </c>
      <c r="B14" s="1">
        <f>ROUND(B10+B11+B12+B13,2)</f>
        <v/>
      </c>
      <c r="C14" s="1">
        <f>ROUND(C10+C11+C12+C13,2)</f>
        <v/>
      </c>
      <c r="D14" s="1">
        <f>ROUND(D10+D11+D12+D13,2)</f>
        <v/>
      </c>
      <c r="E14" s="1">
        <f>ROUND(E10+E11+E12+E13,2)</f>
        <v/>
      </c>
      <c r="F14" s="1">
        <f>ROUND(F10+F11+F12+F13,2)</f>
        <v/>
      </c>
      <c r="G14" s="1">
        <f>ROUND(G10+G11+G12+G13,2)</f>
        <v/>
      </c>
    </row>
    <row r="15"/>
    <row r="16">
      <c r="A16" t="inlineStr">
        <is>
          <t>DISCOUNT FACTORS &amp; PV CALCULATIONS</t>
        </is>
      </c>
    </row>
    <row r="17">
      <c r="A17" t="inlineStr">
        <is>
          <t>Discount Rate (WACC)</t>
        </is>
      </c>
      <c r="B17" s="3">
        <f>Assumptions!B19</f>
        <v/>
      </c>
    </row>
    <row r="18">
      <c r="A18" t="inlineStr">
        <is>
          <t>Year Index</t>
        </is>
      </c>
      <c r="B18" s="2" t="n">
        <v>1</v>
      </c>
      <c r="C18" s="2" t="n">
        <v>2</v>
      </c>
      <c r="D18" s="2" t="n">
        <v>3</v>
      </c>
      <c r="E18" s="2" t="n">
        <v>4</v>
      </c>
      <c r="F18" s="2" t="n">
        <v>5</v>
      </c>
      <c r="G18" s="2" t="n">
        <v>6</v>
      </c>
    </row>
    <row r="19">
      <c r="A19" t="inlineStr">
        <is>
          <t>Discount Factor</t>
        </is>
      </c>
      <c r="B19" s="10">
        <f>IFERROR(1/(1+$B$17)^1,0)</f>
        <v/>
      </c>
      <c r="C19" s="10">
        <f>IFERROR(1/(1+$B$17)^2,0)</f>
        <v/>
      </c>
      <c r="D19" s="10">
        <f>IFERROR(1/(1+$B$17)^3,0)</f>
        <v/>
      </c>
      <c r="E19" s="10">
        <f>IFERROR(1/(1+$B$17)^4,0)</f>
        <v/>
      </c>
      <c r="F19" s="10">
        <f>IFERROR(1/(1+$B$17)^5,0)</f>
        <v/>
      </c>
      <c r="G19" s="10">
        <f>IFERROR(1/(1+$B$17)^6,0)</f>
        <v/>
      </c>
    </row>
    <row r="20">
      <c r="A20" t="inlineStr">
        <is>
          <t>PV of FCF ($M)</t>
        </is>
      </c>
      <c r="B20" s="1">
        <f>ROUND(B14*B19,2)</f>
        <v/>
      </c>
      <c r="C20" s="1">
        <f>ROUND(C14*C19,2)</f>
        <v/>
      </c>
      <c r="D20" s="1">
        <f>ROUND(D14*D19,2)</f>
        <v/>
      </c>
      <c r="E20" s="1">
        <f>ROUND(E14*E19,2)</f>
        <v/>
      </c>
      <c r="F20" s="1">
        <f>ROUND(F14*F19,2)</f>
        <v/>
      </c>
      <c r="G20" s="1">
        <f>ROUND(G14*G19,2)</f>
        <v/>
      </c>
    </row>
    <row r="21"/>
    <row r="22">
      <c r="A22" t="inlineStr">
        <is>
          <t>VALUATION SUMMARY</t>
        </is>
      </c>
    </row>
    <row r="23">
      <c r="A23" t="inlineStr">
        <is>
          <t>Metric</t>
        </is>
      </c>
      <c r="B23" t="inlineStr">
        <is>
          <t>Value</t>
        </is>
      </c>
      <c r="C23" t="inlineStr">
        <is>
          <t>Formula</t>
        </is>
      </c>
      <c r="D23" t="inlineStr">
        <is>
          <t>Notes</t>
        </is>
      </c>
      <c r="E23" t="inlineStr">
        <is>
          <t>Verdict</t>
        </is>
      </c>
    </row>
    <row r="24">
      <c r="A24" t="inlineStr">
        <is>
          <t>Sum PV of FCFs</t>
        </is>
      </c>
      <c r="B24" t="inlineStr">
        <is>
          <t>→ see E column</t>
        </is>
      </c>
      <c r="C24" t="inlineStr">
        <is>
          <t>SUM</t>
        </is>
      </c>
      <c r="D24" t="inlineStr">
        <is>
          <t>5-yr PVs</t>
        </is>
      </c>
      <c r="E24" s="1">
        <f>SUM(B20:G20)</f>
        <v/>
      </c>
    </row>
    <row r="25">
      <c r="A25" t="inlineStr">
        <is>
          <t>NPV (Excel function)</t>
        </is>
      </c>
      <c r="B25" t="inlineStr">
        <is>
          <t>→ see E column</t>
        </is>
      </c>
      <c r="C25" t="inlineStr">
        <is>
          <t>NPV</t>
        </is>
      </c>
      <c r="D25" t="inlineStr">
        <is>
          <t>Excel NPV fn</t>
        </is>
      </c>
      <c r="E25" s="1">
        <f>IFERROR(NPV(B17,C14:G14)+B14,0)</f>
        <v/>
      </c>
    </row>
    <row r="26">
      <c r="A26" t="inlineStr">
        <is>
          <t>Terminal Value</t>
        </is>
      </c>
      <c r="B26" t="inlineStr">
        <is>
          <t>→ see E column</t>
        </is>
      </c>
      <c r="C26" t="inlineStr">
        <is>
          <t>Gordon Growth</t>
        </is>
      </c>
      <c r="D26" t="inlineStr">
        <is>
          <t>Perpetuity</t>
        </is>
      </c>
      <c r="E26" s="1">
        <f>IFERROR(G14*(1+Assumptions!B20)/(B17-Assumptions!B20),0)</f>
        <v/>
      </c>
    </row>
    <row r="27">
      <c r="A27" t="inlineStr">
        <is>
          <t>PV of Terminal Value</t>
        </is>
      </c>
      <c r="B27" t="inlineStr">
        <is>
          <t>→ see E column</t>
        </is>
      </c>
      <c r="C27" t="inlineStr">
        <is>
          <t>Math</t>
        </is>
      </c>
      <c r="D27" t="inlineStr">
        <is>
          <t>Discounted TV</t>
        </is>
      </c>
      <c r="E27" s="1">
        <f>IFERROR(E26/(1+B17)^6,0)</f>
        <v/>
      </c>
    </row>
    <row r="28">
      <c r="A28" t="inlineStr">
        <is>
          <t>Enterprise Value</t>
        </is>
      </c>
      <c r="B28" t="inlineStr">
        <is>
          <t>→ see E column</t>
        </is>
      </c>
      <c r="C28" t="inlineStr">
        <is>
          <t>Sum</t>
        </is>
      </c>
      <c r="D28" t="inlineStr">
        <is>
          <t>EV = PV FCF + PV TV</t>
        </is>
      </c>
      <c r="E28" s="1">
        <f>IFERROR(E24+E27,0)</f>
        <v/>
      </c>
    </row>
    <row r="29">
      <c r="A29" t="inlineStr">
        <is>
          <t>EV/Revenue Multiple</t>
        </is>
      </c>
      <c r="B29" t="inlineStr">
        <is>
          <t>→ see E column</t>
        </is>
      </c>
      <c r="C29" t="inlineStr">
        <is>
          <t>Division</t>
        </is>
      </c>
      <c r="D29" t="inlineStr">
        <is>
          <t>Turn of revenue</t>
        </is>
      </c>
      <c r="E29" s="11">
        <f>IFERROR(E28/B5,0)</f>
        <v/>
      </c>
    </row>
    <row r="30">
      <c r="A30" t="inlineStr">
        <is>
          <t>NPV Signal</t>
        </is>
      </c>
      <c r="B30" t="inlineStr">
        <is>
          <t>→ see E column</t>
        </is>
      </c>
      <c r="C30" t="inlineStr">
        <is>
          <t>IF+AND</t>
        </is>
      </c>
      <c r="D30" t="inlineStr">
        <is>
          <t>Buy/Hold/Sell</t>
        </is>
      </c>
      <c r="E30">
        <f>IF(AND(E28&gt;0,E24&gt;0),IF(E28&gt;E24*1.5,"Strong Buy",IF(E28&gt;E24,"Buy","Hold")),"Review")</f>
        <v/>
      </c>
    </row>
    <row r="31">
      <c r="A31" t="inlineStr">
        <is>
          <t>EV as TEXT</t>
        </is>
      </c>
      <c r="B31" t="inlineStr">
        <is>
          <t>→ see E column</t>
        </is>
      </c>
      <c r="C31" t="inlineStr">
        <is>
          <t>TEXT</t>
        </is>
      </c>
      <c r="D31" t="inlineStr">
        <is>
          <t>Formatted string</t>
        </is>
      </c>
      <c r="E31">
        <f>TEXT(E28,"$#,##0.0")&amp;"M"</f>
        <v/>
      </c>
    </row>
    <row r="32">
      <c r="A32" t="inlineStr">
        <is>
          <t>OR: distressed?</t>
        </is>
      </c>
      <c r="B32" t="inlineStr">
        <is>
          <t>→ see E column</t>
        </is>
      </c>
      <c r="C32" t="inlineStr">
        <is>
          <t>OR</t>
        </is>
      </c>
      <c r="D32" t="inlineStr">
        <is>
          <t>Sanity check</t>
        </is>
      </c>
      <c r="E32">
        <f>IF(OR(E28&lt;0,B17&gt;0.15),"⚠ Review assumptions","✔ Parameters OK")</f>
        <v/>
      </c>
    </row>
    <row r="33">
      <c r="A33" t="inlineStr">
        <is>
          <t>ROUND EV to $10M</t>
        </is>
      </c>
      <c r="B33" t="inlineStr">
        <is>
          <t>→ see E column</t>
        </is>
      </c>
      <c r="C33" t="inlineStr">
        <is>
          <t>ROUND</t>
        </is>
      </c>
      <c r="D33" t="inlineStr">
        <is>
          <t>Rounded EV</t>
        </is>
      </c>
      <c r="E33" s="1">
        <f>IFERROR(ROUND(E28/10,0)*10,0)</f>
        <v/>
      </c>
    </row>
    <row r="34">
      <c r="A34" t="inlineStr">
        <is>
          <t>ROUNDDOWN FCF Yr1</t>
        </is>
      </c>
      <c r="B34" t="inlineStr">
        <is>
          <t>→ see E column</t>
        </is>
      </c>
      <c r="C34" t="inlineStr">
        <is>
          <t>ROUNDDOWN</t>
        </is>
      </c>
      <c r="D34" t="inlineStr">
        <is>
          <t>Floor of FCF</t>
        </is>
      </c>
      <c r="E34" s="1">
        <f>ROUNDDOWN(B14,0)</f>
        <v/>
      </c>
    </row>
    <row r="35">
      <c r="A35" t="inlineStr">
        <is>
          <t>MID of NPV Signal</t>
        </is>
      </c>
      <c r="B35" t="inlineStr">
        <is>
          <t>→ see E column</t>
        </is>
      </c>
      <c r="C35" t="inlineStr">
        <is>
          <t>MID</t>
        </is>
      </c>
      <c r="D35" t="inlineStr">
        <is>
          <t>First 4 chars</t>
        </is>
      </c>
      <c r="E35">
        <f>IFERROR(MID(E30,1,4),"N/A")</f>
        <v/>
      </c>
    </row>
    <row r="36">
      <c r="A36" t="inlineStr">
        <is>
          <t>RIGHT of EV text</t>
        </is>
      </c>
      <c r="B36" t="inlineStr">
        <is>
          <t>→ see E column</t>
        </is>
      </c>
      <c r="C36" t="inlineStr">
        <is>
          <t>RIGHT</t>
        </is>
      </c>
      <c r="D36" t="inlineStr">
        <is>
          <t>Last character</t>
        </is>
      </c>
      <c r="E36">
        <f>RIGHT(E31,1)</f>
        <v/>
      </c>
    </row>
  </sheetData>
  <mergeCells count="3">
    <mergeCell ref="A22:E22"/>
    <mergeCell ref="A3:H3"/>
    <mergeCell ref="A16:H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🧰  Formula Toolkit — Text, Address, Column, Row, String Functions</t>
        </is>
      </c>
    </row>
    <row r="2"/>
    <row r="3">
      <c r="A3" t="inlineStr">
        <is>
          <t>STRING FUNCTION DEMONSTRATIONS</t>
        </is>
      </c>
    </row>
    <row r="4">
      <c r="A4" t="inlineStr">
        <is>
          <t>Function(s)</t>
        </is>
      </c>
      <c r="B4" t="inlineStr">
        <is>
          <t>Input</t>
        </is>
      </c>
      <c r="C4" t="inlineStr">
        <is>
          <t>Formula</t>
        </is>
      </c>
      <c r="D4" t="inlineStr">
        <is>
          <t>Result</t>
        </is>
      </c>
      <c r="E4" t="inlineStr">
        <is>
          <t>Category</t>
        </is>
      </c>
      <c r="F4" t="inlineStr">
        <is>
          <t>Notes</t>
        </is>
      </c>
    </row>
    <row r="5">
      <c r="A5" t="inlineStr">
        <is>
          <t>LEFT</t>
        </is>
      </c>
      <c r="B5" t="inlineStr">
        <is>
          <t>Apex Dynamics Inc</t>
        </is>
      </c>
      <c r="C5" t="inlineStr">
        <is>
          <t>LEFT("Apex Dynamics Inc",4)</t>
        </is>
      </c>
      <c r="D5">
        <f>LEFT("Apex Dynamics Inc",4)</f>
        <v/>
      </c>
      <c r="E5" t="inlineStr">
        <is>
          <t>Text</t>
        </is>
      </c>
      <c r="F5" t="inlineStr">
        <is>
          <t>First 4 chars</t>
        </is>
      </c>
    </row>
    <row r="6">
      <c r="A6" t="inlineStr">
        <is>
          <t>RIGHT</t>
        </is>
      </c>
      <c r="B6" t="inlineStr">
        <is>
          <t>FY2024-Q3</t>
        </is>
      </c>
      <c r="C6" t="inlineStr">
        <is>
          <t>RIGHT("FY2024-Q3",2)</t>
        </is>
      </c>
      <c r="D6">
        <f>RIGHT("FY2024-Q3",2)</f>
        <v/>
      </c>
      <c r="E6" t="inlineStr">
        <is>
          <t>Text</t>
        </is>
      </c>
      <c r="F6" t="inlineStr">
        <is>
          <t>Last 2 chars</t>
        </is>
      </c>
    </row>
    <row r="7">
      <c r="A7" t="inlineStr">
        <is>
          <t>MID</t>
        </is>
      </c>
      <c r="B7" t="inlineStr">
        <is>
          <t>PRD-008-EMEA</t>
        </is>
      </c>
      <c r="C7" t="inlineStr">
        <is>
          <t>MID("PRD-008-EMEA",5,3)</t>
        </is>
      </c>
      <c r="D7">
        <f>MID("PRD-008-EMEA",5,3)</f>
        <v/>
      </c>
      <c r="E7" t="inlineStr">
        <is>
          <t>Text</t>
        </is>
      </c>
      <c r="F7" t="inlineStr">
        <is>
          <t>Chars 5-7</t>
        </is>
      </c>
    </row>
    <row r="8">
      <c r="A8" t="inlineStr">
        <is>
          <t>CONCATENATE</t>
        </is>
      </c>
      <c r="B8" t="inlineStr">
        <is>
          <t>First + Last</t>
        </is>
      </c>
      <c r="C8" t="inlineStr">
        <is>
          <t>CONCATENATE("Apex"," ","Dynamics")</t>
        </is>
      </c>
      <c r="D8">
        <f>CONCATENATE("Apex"," ","Dynamics")</f>
        <v/>
      </c>
      <c r="E8" t="inlineStr">
        <is>
          <t>Text</t>
        </is>
      </c>
      <c r="F8" t="inlineStr">
        <is>
          <t>Join strings</t>
        </is>
      </c>
    </row>
    <row r="9">
      <c r="A9" t="inlineStr">
        <is>
          <t>TEXT (date)</t>
        </is>
      </c>
      <c r="B9" t="inlineStr">
        <is>
          <t>Today's date</t>
        </is>
      </c>
      <c r="C9" t="inlineStr">
        <is>
          <t>TEXT(TODAY(),"MMMM DD, YYYY")</t>
        </is>
      </c>
      <c r="D9">
        <f>TEXT(TODAY(),"MMMM DD, YYYY")</f>
        <v/>
      </c>
      <c r="E9" t="inlineStr">
        <is>
          <t>Text</t>
        </is>
      </c>
      <c r="F9" t="inlineStr">
        <is>
          <t>Format date</t>
        </is>
      </c>
    </row>
    <row r="10">
      <c r="A10" t="inlineStr">
        <is>
          <t>TEXT (number)</t>
        </is>
      </c>
      <c r="B10" t="inlineStr">
        <is>
          <t>$1234567.89</t>
        </is>
      </c>
      <c r="C10" t="inlineStr">
        <is>
          <t>TEXT(1234567.89,"$#,##0.00")</t>
        </is>
      </c>
      <c r="D10">
        <f>TEXT(1234567.89,"$#,##0.00")</f>
        <v/>
      </c>
      <c r="E10" t="inlineStr">
        <is>
          <t>Text</t>
        </is>
      </c>
      <c r="F10" t="inlineStr">
        <is>
          <t>Format number</t>
        </is>
      </c>
    </row>
    <row r="11">
      <c r="A11" t="inlineStr">
        <is>
          <t>VALUE</t>
        </is>
      </c>
      <c r="B11" t="inlineStr">
        <is>
          <t>"1,234.56"</t>
        </is>
      </c>
      <c r="C11" t="inlineStr">
        <is>
          <t>VALUE("1234.56")</t>
        </is>
      </c>
      <c r="D11">
        <f>VALUE("1234.56")</f>
        <v/>
      </c>
      <c r="E11" t="inlineStr">
        <is>
          <t>Text</t>
        </is>
      </c>
      <c r="F11" t="inlineStr">
        <is>
          <t>String to number</t>
        </is>
      </c>
    </row>
    <row r="12">
      <c r="A12" t="inlineStr">
        <is>
          <t>NUMBERVALUE</t>
        </is>
      </c>
      <c r="B12" t="inlineStr">
        <is>
          <t>"1.234,56" EU</t>
        </is>
      </c>
      <c r="C12" t="inlineStr">
        <is>
          <t>NUMBERVALUE("1234.56",".",",")</t>
        </is>
      </c>
      <c r="D12">
        <f>_xludf.NUMBERVALUE("1234.56",".",",")</f>
        <v/>
      </c>
      <c r="E12" t="inlineStr">
        <is>
          <t>Text</t>
        </is>
      </c>
      <c r="F12" t="inlineStr">
        <is>
          <t>Locale-aware</t>
        </is>
      </c>
    </row>
    <row r="13">
      <c r="A13" t="inlineStr">
        <is>
          <t>ISTEXT</t>
        </is>
      </c>
      <c r="B13" t="inlineStr">
        <is>
          <t>Check "hello"</t>
        </is>
      </c>
      <c r="C13" t="inlineStr">
        <is>
          <t>ISTEXT("hello")</t>
        </is>
      </c>
      <c r="D13">
        <f>ISTEXT("hello")</f>
        <v/>
      </c>
      <c r="E13" t="inlineStr">
        <is>
          <t>Info</t>
        </is>
      </c>
      <c r="F13" t="inlineStr">
        <is>
          <t>TRUE if text</t>
        </is>
      </c>
    </row>
    <row r="14">
      <c r="A14" t="inlineStr">
        <is>
          <t>ISTEXT (num)</t>
        </is>
      </c>
      <c r="B14" t="inlineStr">
        <is>
          <t>Check 42</t>
        </is>
      </c>
      <c r="C14" t="inlineStr">
        <is>
          <t>ISTEXT(42)</t>
        </is>
      </c>
      <c r="D14">
        <f>ISTEXT(42)</f>
        <v/>
      </c>
      <c r="E14" t="inlineStr">
        <is>
          <t>Info</t>
        </is>
      </c>
      <c r="F14" t="inlineStr">
        <is>
          <t>FALSE for number</t>
        </is>
      </c>
    </row>
    <row r="15">
      <c r="A15" t="inlineStr">
        <is>
          <t>ISNUMBER</t>
        </is>
      </c>
      <c r="B15" t="inlineStr">
        <is>
          <t>Check 3.14</t>
        </is>
      </c>
      <c r="C15" t="inlineStr">
        <is>
          <t>ISNUMBER(3.14)</t>
        </is>
      </c>
      <c r="D15">
        <f>ISNUMBER(3.14)</f>
        <v/>
      </c>
      <c r="E15" t="inlineStr">
        <is>
          <t>Info</t>
        </is>
      </c>
      <c r="F15" t="inlineStr">
        <is>
          <t>TRUE if numeric</t>
        </is>
      </c>
    </row>
    <row r="16">
      <c r="A16" t="inlineStr">
        <is>
          <t>ISBLANK</t>
        </is>
      </c>
      <c r="B16" t="inlineStr">
        <is>
          <t>Empty cell</t>
        </is>
      </c>
      <c r="C16" t="inlineStr">
        <is>
          <t>ISBLANK("")</t>
        </is>
      </c>
      <c r="D16">
        <f>ISBLANK("")</f>
        <v/>
      </c>
      <c r="E16" t="inlineStr">
        <is>
          <t>Info</t>
        </is>
      </c>
      <c r="F16" t="inlineStr">
        <is>
          <t>TRUE if blank</t>
        </is>
      </c>
    </row>
    <row r="17">
      <c r="A17" t="inlineStr">
        <is>
          <t>ISERROR</t>
        </is>
      </c>
      <c r="B17" t="inlineStr">
        <is>
          <t>1/0</t>
        </is>
      </c>
      <c r="C17" t="inlineStr">
        <is>
          <t>ISERROR(1/0)</t>
        </is>
      </c>
      <c r="D17">
        <f>ISERROR(1/0)</f>
        <v/>
      </c>
      <c r="E17" t="inlineStr">
        <is>
          <t>Info</t>
        </is>
      </c>
      <c r="F17" t="inlineStr">
        <is>
          <t>TRUE on error</t>
        </is>
      </c>
    </row>
    <row r="18">
      <c r="A18" t="inlineStr">
        <is>
          <t>ISNA</t>
        </is>
      </c>
      <c r="B18" t="inlineStr">
        <is>
          <t>NA()</t>
        </is>
      </c>
      <c r="C18" t="inlineStr">
        <is>
          <t>ISNA(NA())</t>
        </is>
      </c>
      <c r="D18">
        <f>ISNA(NA())</f>
        <v/>
      </c>
      <c r="E18" t="inlineStr">
        <is>
          <t>Info</t>
        </is>
      </c>
      <c r="F18" t="inlineStr">
        <is>
          <t>Specific NA check</t>
        </is>
      </c>
    </row>
    <row r="19">
      <c r="A19" t="inlineStr">
        <is>
          <t>ADDRESS</t>
        </is>
      </c>
      <c r="B19" t="inlineStr">
        <is>
          <t>Row 5, Col 3</t>
        </is>
      </c>
      <c r="C19" t="inlineStr">
        <is>
          <t>ADDRESS(5,3,1)</t>
        </is>
      </c>
      <c r="D19">
        <f>ADDRESS(5,3,1)</f>
        <v/>
      </c>
      <c r="E19" t="inlineStr">
        <is>
          <t>Ref</t>
        </is>
      </c>
      <c r="F19" t="inlineStr">
        <is>
          <t>Absolute address</t>
        </is>
      </c>
    </row>
    <row r="20">
      <c r="A20" t="inlineStr">
        <is>
          <t>ADDRESS (rel)</t>
        </is>
      </c>
      <c r="B20" t="inlineStr">
        <is>
          <t>Row 10, Col 2</t>
        </is>
      </c>
      <c r="C20" t="inlineStr">
        <is>
          <t>ADDRESS(10,2,4)</t>
        </is>
      </c>
      <c r="D20">
        <f>ADDRESS(10,2,4)</f>
        <v/>
      </c>
      <c r="E20" t="inlineStr">
        <is>
          <t>Ref</t>
        </is>
      </c>
      <c r="F20" t="inlineStr">
        <is>
          <t>Relative address</t>
        </is>
      </c>
    </row>
    <row r="21">
      <c r="A21" t="inlineStr">
        <is>
          <t>COLUMN</t>
        </is>
      </c>
      <c r="B21" t="inlineStr">
        <is>
          <t>Cell E1</t>
        </is>
      </c>
      <c r="C21" t="inlineStr">
        <is>
          <t>COLUMN($E$1)</t>
        </is>
      </c>
      <c r="D21">
        <f>COLUMN($E$1)</f>
        <v/>
      </c>
      <c r="E21" t="inlineStr">
        <is>
          <t>Ref</t>
        </is>
      </c>
      <c r="F21" t="inlineStr">
        <is>
          <t>Returns 5</t>
        </is>
      </c>
    </row>
    <row r="22">
      <c r="A22" t="inlineStr">
        <is>
          <t>ROW</t>
        </is>
      </c>
      <c r="B22" t="inlineStr">
        <is>
          <t>Cell A10</t>
        </is>
      </c>
      <c r="C22" t="inlineStr">
        <is>
          <t>ROW($A$10)</t>
        </is>
      </c>
      <c r="D22">
        <f>ROW($A$10)</f>
        <v/>
      </c>
      <c r="E22" t="inlineStr">
        <is>
          <t>Ref</t>
        </is>
      </c>
      <c r="F22" t="inlineStr">
        <is>
          <t>Returns 10</t>
        </is>
      </c>
    </row>
    <row r="23">
      <c r="A23" t="inlineStr">
        <is>
          <t>COLUMNS</t>
        </is>
      </c>
      <c r="B23" t="inlineStr">
        <is>
          <t>Range A1:H1</t>
        </is>
      </c>
      <c r="C23" t="inlineStr">
        <is>
          <t>COLUMNS($A$1:$H$1)</t>
        </is>
      </c>
      <c r="D23">
        <f>COLUMNS($A$1:$H$1)</f>
        <v/>
      </c>
      <c r="E23" t="inlineStr">
        <is>
          <t>Ref</t>
        </is>
      </c>
      <c r="F23" t="inlineStr">
        <is>
          <t>Returns 8</t>
        </is>
      </c>
    </row>
    <row r="24">
      <c r="A24" t="inlineStr">
        <is>
          <t>COUNTA</t>
        </is>
      </c>
      <c r="B24" t="inlineStr">
        <is>
          <t>Non-blank count</t>
        </is>
      </c>
      <c r="C24" t="inlineStr">
        <is>
          <t>COUNTA($A$5:$A$18)</t>
        </is>
      </c>
      <c r="D24">
        <f>COUNTA($A$5:$A$18)</f>
        <v/>
      </c>
      <c r="E24" t="inlineStr">
        <is>
          <t>Stats</t>
        </is>
      </c>
      <c r="F24" t="inlineStr">
        <is>
          <t>Count non-empty</t>
        </is>
      </c>
    </row>
    <row r="25">
      <c r="A25" t="inlineStr">
        <is>
          <t>COUNT</t>
        </is>
      </c>
      <c r="B25" t="inlineStr">
        <is>
          <t>Numeric count</t>
        </is>
      </c>
      <c r="C25" t="inlineStr">
        <is>
          <t>COUNT($A$5:$A$18)</t>
        </is>
      </c>
      <c r="D25">
        <f>COUNT($A$5:$A$18)</f>
        <v/>
      </c>
      <c r="E25" t="inlineStr">
        <is>
          <t>Stats</t>
        </is>
      </c>
      <c r="F25" t="inlineStr">
        <is>
          <t>Count numbers</t>
        </is>
      </c>
    </row>
    <row r="26">
      <c r="A26" t="inlineStr">
        <is>
          <t>LEFT+VALUE</t>
        </is>
      </c>
      <c r="B26" t="inlineStr">
        <is>
          <t>Extract digits</t>
        </is>
      </c>
      <c r="C26" t="inlineStr">
        <is>
          <t>VALUE(LEFT("Q3-2024",2))</t>
        </is>
      </c>
      <c r="D26">
        <f>VALUE(LEFT("Q3-2024",2))</f>
        <v/>
      </c>
      <c r="E26" t="inlineStr">
        <is>
          <t>Combo</t>
        </is>
      </c>
      <c r="F26" t="inlineStr">
        <is>
          <t>Extract then parse</t>
        </is>
      </c>
    </row>
    <row r="27">
      <c r="A27" t="inlineStr">
        <is>
          <t>MID+VALUE</t>
        </is>
      </c>
      <c r="B27" t="inlineStr">
        <is>
          <t>Year from code</t>
        </is>
      </c>
      <c r="C27" t="inlineStr">
        <is>
          <t>VALUE(MID("FY2024-Q3",3,4))</t>
        </is>
      </c>
      <c r="D27">
        <f>VALUE(MID("FY2024-Q3",3,4))</f>
        <v/>
      </c>
      <c r="E27" t="inlineStr">
        <is>
          <t>Combo</t>
        </is>
      </c>
      <c r="F27" t="inlineStr">
        <is>
          <t>Year from string</t>
        </is>
      </c>
    </row>
    <row r="28">
      <c r="A28" t="inlineStr">
        <is>
          <t>IFERROR+VALUE</t>
        </is>
      </c>
      <c r="B28" t="inlineStr">
        <is>
          <t>Safe parse</t>
        </is>
      </c>
      <c r="C28" t="inlineStr">
        <is>
          <t>IFERROR(VALUE("abc"),0)</t>
        </is>
      </c>
      <c r="D28">
        <f>IFERROR(VALUE("abc"),0)</f>
        <v/>
      </c>
      <c r="E28" t="inlineStr">
        <is>
          <t>Combo</t>
        </is>
      </c>
      <c r="F28" t="inlineStr">
        <is>
          <t>Error-safe parse</t>
        </is>
      </c>
    </row>
    <row r="29">
      <c r="A29" t="inlineStr">
        <is>
          <t>CONCATENATE+TEXT</t>
        </is>
      </c>
      <c r="B29" t="inlineStr">
        <is>
          <t>Build label</t>
        </is>
      </c>
      <c r="C29" t="inlineStr">
        <is>
          <t>CONCATENATE("FY",TEXT(2024,"0"),"-Q",TEXT(3,"0"))</t>
        </is>
      </c>
      <c r="D29">
        <f>CONCATENATE("FY",TEXT(2024,"0"),"-Q",TEXT(3,"0"))</f>
        <v/>
      </c>
      <c r="E29" t="inlineStr">
        <is>
          <t>Combo</t>
        </is>
      </c>
      <c r="F29" t="inlineStr">
        <is>
          <t>Formatted label</t>
        </is>
      </c>
    </row>
    <row r="30">
      <c r="A30" t="inlineStr">
        <is>
          <t>IFNA demo</t>
        </is>
      </c>
      <c r="B30" t="inlineStr">
        <is>
          <t>Safe XLOOKUP</t>
        </is>
      </c>
      <c r="C30" t="inlineStr">
        <is>
          <t>IFNA(VLOOKUP("FAKE",A5:A18,1,FALSE),"Not found")</t>
        </is>
      </c>
      <c r="D30">
        <f>_xludf.IFNA(VLOOKUP("FAKE",A5:A18,1,FALSE),"Not found")</f>
        <v/>
      </c>
      <c r="E30" t="inlineStr">
        <is>
          <t>Combo</t>
        </is>
      </c>
      <c r="F30" t="inlineStr">
        <is>
          <t>IFNAs NA</t>
        </is>
      </c>
    </row>
    <row r="31">
      <c r="A31" t="inlineStr">
        <is>
          <t>CHOOSE+TEXT</t>
        </is>
      </c>
      <c r="B31" t="inlineStr">
        <is>
          <t>Quarter names</t>
        </is>
      </c>
      <c r="C31" t="inlineStr">
        <is>
          <t>TEXT(CHOOSE(2,1,2,3,4),""Q"0")</t>
        </is>
      </c>
      <c r="D31">
        <f>TEXT(CHOOSE(2,1,2,3,4),""Q"0")</f>
        <v/>
      </c>
      <c r="E31" t="inlineStr">
        <is>
          <t>Combo</t>
        </is>
      </c>
      <c r="F31" t="inlineStr">
        <is>
          <t>Format selected</t>
        </is>
      </c>
    </row>
    <row r="32">
      <c r="A32" t="inlineStr">
        <is>
          <t>ADDRESS+MATCH</t>
        </is>
      </c>
      <c r="B32" t="inlineStr">
        <is>
          <t>Dynamic address</t>
        </is>
      </c>
      <c r="C32" t="inlineStr">
        <is>
          <t>ADDRESS(MATCH("E001",Employee_Directory!$A$5:$A$24,0)+4,7)</t>
        </is>
      </c>
      <c r="D32">
        <f>ADDRESS(MATCH("E001",Employee_Directory!$A$5:$A$24,0)+4,7)</f>
        <v/>
      </c>
      <c r="E32" t="inlineStr">
        <is>
          <t>Combo</t>
        </is>
      </c>
      <c r="F32" t="inlineStr">
        <is>
          <t>Employee salary cell</t>
        </is>
      </c>
    </row>
    <row r="33">
      <c r="A33" t="inlineStr">
        <is>
          <t>ROW array sum</t>
        </is>
      </c>
      <c r="B33" t="inlineStr">
        <is>
          <t>Weighted index</t>
        </is>
      </c>
      <c r="C33" t="inlineStr">
        <is>
          <t>SUMPRODUCT((ROW($A$5:$A$24)-ROW($A$5)+1)*1)</t>
        </is>
      </c>
      <c r="D33">
        <f>SUMPRODUCT((ROW($A$5:$A$24)-ROW($A$5)+1)*1)</f>
        <v/>
      </c>
      <c r="E33" t="inlineStr">
        <is>
          <t>Combo</t>
        </is>
      </c>
      <c r="F33" t="inlineStr">
        <is>
          <t>1+2+...+20</t>
        </is>
      </c>
    </row>
    <row r="34">
      <c r="A34" t="inlineStr">
        <is>
          <t>OFFSET+AVERAGE</t>
        </is>
      </c>
      <c r="B34" t="inlineStr">
        <is>
          <t>Rolling 3-mo avg</t>
        </is>
      </c>
      <c r="C34" t="inlineStr">
        <is>
          <t>IFERROR(AVERAGE(OFFSET(Statistical_Analysis!$D$28,-2,0,3,1)),0)</t>
        </is>
      </c>
      <c r="D34">
        <f>IFERROR(AVERAGE(OFFSET(Statistical_Analysis!$D$28,-2,0,3,1)),0)</f>
        <v/>
      </c>
      <c r="E34" t="inlineStr">
        <is>
          <t>Combo</t>
        </is>
      </c>
      <c r="F34" t="inlineStr">
        <is>
          <t>Last 3 months</t>
        </is>
      </c>
    </row>
  </sheetData>
  <mergeCells count="1"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📚  Complete Function Index  —  All 45 Functions in This Workbook</t>
        </is>
      </c>
    </row>
    <row r="2"/>
    <row r="3">
      <c r="A3" t="inlineStr">
        <is>
          <t>FUNCTION REFERENCE GUIDE</t>
        </is>
      </c>
    </row>
    <row r="4">
      <c r="A4" t="inlineStr">
        <is>
          <t>Function</t>
        </is>
      </c>
      <c r="B4" t="inlineStr">
        <is>
          <t>Category</t>
        </is>
      </c>
      <c r="C4" t="inlineStr">
        <is>
          <t>Sheet(s)</t>
        </is>
      </c>
      <c r="D4" t="inlineStr">
        <is>
          <t>Purpose</t>
        </is>
      </c>
      <c r="E4" t="inlineStr">
        <is>
          <t>Syntax Pattern</t>
        </is>
      </c>
      <c r="F4" t="inlineStr">
        <is>
          <t>Notes</t>
        </is>
      </c>
    </row>
    <row r="5">
      <c r="A5" t="inlineStr">
        <is>
          <t>IF</t>
        </is>
      </c>
      <c r="B5" t="inlineStr">
        <is>
          <t>Logical</t>
        </is>
      </c>
      <c r="C5" t="inlineStr">
        <is>
          <t>All</t>
        </is>
      </c>
      <c r="D5" t="inlineStr">
        <is>
          <t>Conditional result</t>
        </is>
      </c>
      <c r="E5" t="inlineStr">
        <is>
          <t>IF(test,true,false)</t>
        </is>
      </c>
      <c r="F5" t="inlineStr">
        <is>
          <t>Core branching</t>
        </is>
      </c>
    </row>
    <row r="6">
      <c r="A6" t="inlineStr">
        <is>
          <t>IFERROR</t>
        </is>
      </c>
      <c r="B6" t="inlineStr">
        <is>
          <t>Logical</t>
        </is>
      </c>
      <c r="C6" t="inlineStr">
        <is>
          <t>All</t>
        </is>
      </c>
      <c r="D6" t="inlineStr">
        <is>
          <t>Suppress any error</t>
        </is>
      </c>
      <c r="E6" t="inlineStr">
        <is>
          <t>IFERROR(expr,fallback)</t>
        </is>
      </c>
      <c r="F6" t="inlineStr">
        <is>
          <t>Catch-all</t>
        </is>
      </c>
    </row>
    <row r="7">
      <c r="A7" t="inlineStr">
        <is>
          <t>IFNA</t>
        </is>
      </c>
      <c r="B7" t="inlineStr">
        <is>
          <t>Logical</t>
        </is>
      </c>
      <c r="C7" t="inlineStr">
        <is>
          <t>Product Lookup, Toolkit</t>
        </is>
      </c>
      <c r="D7" t="inlineStr">
        <is>
          <t>Suppress only NA</t>
        </is>
      </c>
      <c r="E7" t="inlineStr">
        <is>
          <t>IFNA(expr,fallback)</t>
        </is>
      </c>
      <c r="F7" t="inlineStr">
        <is>
          <t>Specific NA</t>
        </is>
      </c>
    </row>
    <row r="8">
      <c r="A8" t="inlineStr">
        <is>
          <t>ISBLANK</t>
        </is>
      </c>
      <c r="B8" t="inlineStr">
        <is>
          <t>Info</t>
        </is>
      </c>
      <c r="C8" t="inlineStr">
        <is>
          <t>Assumptions</t>
        </is>
      </c>
      <c r="D8" t="inlineStr">
        <is>
          <t>Check empty cell</t>
        </is>
      </c>
      <c r="E8" t="inlineStr">
        <is>
          <t>ISBLANK(cell)</t>
        </is>
      </c>
      <c r="F8" t="inlineStr">
        <is>
          <t>Returns TRUE/FALSE</t>
        </is>
      </c>
    </row>
    <row r="9">
      <c r="A9" t="inlineStr">
        <is>
          <t>ISNUMBER</t>
        </is>
      </c>
      <c r="B9" t="inlineStr">
        <is>
          <t>Info</t>
        </is>
      </c>
      <c r="C9" t="inlineStr">
        <is>
          <t>Product Lookup, Toolkit</t>
        </is>
      </c>
      <c r="D9" t="inlineStr">
        <is>
          <t>Check numeric</t>
        </is>
      </c>
      <c r="E9" t="inlineStr">
        <is>
          <t>ISNUMBER(value)</t>
        </is>
      </c>
      <c r="F9" t="inlineStr">
        <is>
          <t>Returns TRUE/FALSE</t>
        </is>
      </c>
    </row>
    <row r="10">
      <c r="A10" t="inlineStr">
        <is>
          <t>ISTEXT</t>
        </is>
      </c>
      <c r="B10" t="inlineStr">
        <is>
          <t>Info</t>
        </is>
      </c>
      <c r="C10" t="inlineStr">
        <is>
          <t>Assumptions, Toolkit</t>
        </is>
      </c>
      <c r="D10" t="inlineStr">
        <is>
          <t>Check text type</t>
        </is>
      </c>
      <c r="E10" t="inlineStr">
        <is>
          <t>ISTEXT(value)</t>
        </is>
      </c>
      <c r="F10" t="inlineStr">
        <is>
          <t>Returns TRUE/FALSE</t>
        </is>
      </c>
    </row>
    <row r="11">
      <c r="A11" t="inlineStr">
        <is>
          <t>ISERROR</t>
        </is>
      </c>
      <c r="B11" t="inlineStr">
        <is>
          <t>Info</t>
        </is>
      </c>
      <c r="C11" t="inlineStr">
        <is>
          <t>Product Lookup, Toolkit</t>
        </is>
      </c>
      <c r="D11" t="inlineStr">
        <is>
          <t>Check any error</t>
        </is>
      </c>
      <c r="E11" t="inlineStr">
        <is>
          <t>ISERROR(value)</t>
        </is>
      </c>
      <c r="F11" t="inlineStr">
        <is>
          <t>Returns TRUE/FALSE</t>
        </is>
      </c>
    </row>
    <row r="12">
      <c r="A12" t="inlineStr">
        <is>
          <t>ISNA</t>
        </is>
      </c>
      <c r="B12" t="inlineStr">
        <is>
          <t>Info</t>
        </is>
      </c>
      <c r="C12" t="inlineStr">
        <is>
          <t>Product Lookup, Toolkit</t>
        </is>
      </c>
      <c r="D12" t="inlineStr">
        <is>
          <t>Check NA error</t>
        </is>
      </c>
      <c r="E12" t="inlineStr">
        <is>
          <t>ISNA(value)</t>
        </is>
      </c>
      <c r="F12" t="inlineStr">
        <is>
          <t>Specific</t>
        </is>
      </c>
    </row>
    <row r="13">
      <c r="A13" t="inlineStr">
        <is>
          <t>AND</t>
        </is>
      </c>
      <c r="B13" t="inlineStr">
        <is>
          <t>Logical</t>
        </is>
      </c>
      <c r="C13" t="inlineStr">
        <is>
          <t>Assumptions, DCF</t>
        </is>
      </c>
      <c r="D13" t="inlineStr">
        <is>
          <t>All conditions true</t>
        </is>
      </c>
      <c r="E13" t="inlineStr">
        <is>
          <t>AND(cond1,cond2,...)</t>
        </is>
      </c>
      <c r="F13" t="inlineStr">
        <is>
          <t>Logical gate</t>
        </is>
      </c>
    </row>
    <row r="14">
      <c r="A14" t="inlineStr">
        <is>
          <t>OR</t>
        </is>
      </c>
      <c r="B14" t="inlineStr">
        <is>
          <t>Logical</t>
        </is>
      </c>
      <c r="C14" t="inlineStr">
        <is>
          <t>Assumptions, DCF</t>
        </is>
      </c>
      <c r="D14" t="inlineStr">
        <is>
          <t>Any condition true</t>
        </is>
      </c>
      <c r="E14" t="inlineStr">
        <is>
          <t>OR(cond1,cond2,...)</t>
        </is>
      </c>
      <c r="F14" t="inlineStr">
        <is>
          <t>Logical gate</t>
        </is>
      </c>
    </row>
    <row r="15">
      <c r="A15" t="inlineStr">
        <is>
          <t>CHOOSE</t>
        </is>
      </c>
      <c r="B15" t="inlineStr">
        <is>
          <t>Lookup</t>
        </is>
      </c>
      <c r="C15" t="inlineStr">
        <is>
          <t>Assumptions, Sales</t>
        </is>
      </c>
      <c r="D15" t="inlineStr">
        <is>
          <t>Pick nth item</t>
        </is>
      </c>
      <c r="E15" t="inlineStr">
        <is>
          <t>CHOOSE(n,v1,v2,...)</t>
        </is>
      </c>
      <c r="F15" t="inlineStr">
        <is>
          <t>Scenario select</t>
        </is>
      </c>
    </row>
    <row r="16">
      <c r="A16" t="inlineStr">
        <is>
          <t>MATCH</t>
        </is>
      </c>
      <c r="B16" t="inlineStr">
        <is>
          <t>Lookup</t>
        </is>
      </c>
      <c r="C16" t="inlineStr">
        <is>
          <t>Revenue, Lookup, Stats</t>
        </is>
      </c>
      <c r="D16" t="inlineStr">
        <is>
          <t>Position in range</t>
        </is>
      </c>
      <c r="E16" t="inlineStr">
        <is>
          <t>MATCH(val,range,type)</t>
        </is>
      </c>
      <c r="F16" t="inlineStr">
        <is>
          <t>Returns index</t>
        </is>
      </c>
    </row>
    <row r="17">
      <c r="A17" t="inlineStr">
        <is>
          <t>INDEX</t>
        </is>
      </c>
      <c r="B17" t="inlineStr">
        <is>
          <t>Lookup</t>
        </is>
      </c>
      <c r="C17" t="inlineStr">
        <is>
          <t>Revenue, Lookup, Sales</t>
        </is>
      </c>
      <c r="D17" t="inlineStr">
        <is>
          <t>Value at position</t>
        </is>
      </c>
      <c r="E17" t="inlineStr">
        <is>
          <t>INDEX(range,row,col)</t>
        </is>
      </c>
      <c r="F17" t="inlineStr">
        <is>
          <t>With MATCH</t>
        </is>
      </c>
    </row>
    <row r="18">
      <c r="A18" t="inlineStr">
        <is>
          <t>VLOOKUP</t>
        </is>
      </c>
      <c r="B18" t="inlineStr">
        <is>
          <t>Lookup</t>
        </is>
      </c>
      <c r="C18" t="inlineStr">
        <is>
          <t>Product Lookup</t>
        </is>
      </c>
      <c r="D18" t="inlineStr">
        <is>
          <t>Vertical table lookup</t>
        </is>
      </c>
      <c r="E18" t="inlineStr">
        <is>
          <t>VLOOKUP(val,tbl,col,exact)</t>
        </is>
      </c>
      <c r="F18" t="inlineStr">
        <is>
          <t>Col-based</t>
        </is>
      </c>
    </row>
    <row r="19">
      <c r="A19" t="inlineStr">
        <is>
          <t>HLOOKUP</t>
        </is>
      </c>
      <c r="B19" t="inlineStr">
        <is>
          <t>Lookup</t>
        </is>
      </c>
      <c r="C19" t="inlineStr">
        <is>
          <t>Product Lookup</t>
        </is>
      </c>
      <c r="D19" t="inlineStr">
        <is>
          <t>Horizontal table lookup</t>
        </is>
      </c>
      <c r="E19" t="inlineStr">
        <is>
          <t>HLOOKUP(val,tbl,row,exact)</t>
        </is>
      </c>
      <c r="F19" t="inlineStr">
        <is>
          <t>Row-based</t>
        </is>
      </c>
    </row>
    <row r="20">
      <c r="A20" t="inlineStr">
        <is>
          <t>XLOOKUP</t>
        </is>
      </c>
      <c r="B20" t="inlineStr">
        <is>
          <t>Lookup</t>
        </is>
      </c>
      <c r="C20" t="inlineStr">
        <is>
          <t>Product Lookup</t>
        </is>
      </c>
      <c r="D20" t="inlineStr">
        <is>
          <t>Modern flexible lookup</t>
        </is>
      </c>
      <c r="E20" t="inlineStr">
        <is>
          <t>XLOOKUP(val,look,return,miss)</t>
        </is>
      </c>
      <c r="F20" t="inlineStr">
        <is>
          <t>Excel 365+</t>
        </is>
      </c>
    </row>
    <row r="21">
      <c r="A21" t="inlineStr">
        <is>
          <t>OFFSET</t>
        </is>
      </c>
      <c r="B21" t="inlineStr">
        <is>
          <t>Lookup</t>
        </is>
      </c>
      <c r="C21" t="inlineStr">
        <is>
          <t>Statistical, Toolkit</t>
        </is>
      </c>
      <c r="D21" t="inlineStr">
        <is>
          <t>Dynamic range offset</t>
        </is>
      </c>
      <c r="E21" t="inlineStr">
        <is>
          <t>OFFSET(ref,rows,cols,h,w)</t>
        </is>
      </c>
      <c r="F21" t="inlineStr">
        <is>
          <t>Moving window</t>
        </is>
      </c>
    </row>
    <row r="22">
      <c r="A22" t="inlineStr">
        <is>
          <t>ROW</t>
        </is>
      </c>
      <c r="B22" t="inlineStr">
        <is>
          <t>Lookup</t>
        </is>
      </c>
      <c r="C22" t="inlineStr">
        <is>
          <t>Statistical, Sales, Toolkit</t>
        </is>
      </c>
      <c r="D22" t="inlineStr">
        <is>
          <t>Row number</t>
        </is>
      </c>
      <c r="E22" t="inlineStr">
        <is>
          <t>ROW(cell)</t>
        </is>
      </c>
      <c r="F22" t="inlineStr">
        <is>
          <t>Dynamic indexing</t>
        </is>
      </c>
    </row>
    <row r="23">
      <c r="A23" t="inlineStr">
        <is>
          <t>COLUMN</t>
        </is>
      </c>
      <c r="B23" t="inlineStr">
        <is>
          <t>Lookup</t>
        </is>
      </c>
      <c r="C23" t="inlineStr">
        <is>
          <t>Product Lookup, Sales, Toolkit</t>
        </is>
      </c>
      <c r="D23" t="inlineStr">
        <is>
          <t>Column number</t>
        </is>
      </c>
      <c r="E23" t="inlineStr">
        <is>
          <t>COLUMN(cell)</t>
        </is>
      </c>
      <c r="F23" t="inlineStr">
        <is>
          <t>Col indexing</t>
        </is>
      </c>
    </row>
    <row r="24">
      <c r="A24" t="inlineStr">
        <is>
          <t>COLUMNS</t>
        </is>
      </c>
      <c r="B24" t="inlineStr">
        <is>
          <t>Lookup</t>
        </is>
      </c>
      <c r="C24" t="inlineStr">
        <is>
          <t>Employee, Toolkit</t>
        </is>
      </c>
      <c r="D24" t="inlineStr">
        <is>
          <t>Count columns in range</t>
        </is>
      </c>
      <c r="E24" t="inlineStr">
        <is>
          <t>COLUMNS(range)</t>
        </is>
      </c>
      <c r="F24" t="inlineStr">
        <is>
          <t>Range width</t>
        </is>
      </c>
    </row>
    <row r="25">
      <c r="A25" t="inlineStr">
        <is>
          <t>ADDRESS</t>
        </is>
      </c>
      <c r="B25" t="inlineStr">
        <is>
          <t>Lookup</t>
        </is>
      </c>
      <c r="C25" t="inlineStr">
        <is>
          <t>Product Lookup, Toolkit</t>
        </is>
      </c>
      <c r="D25" t="inlineStr">
        <is>
          <t>Build cell address</t>
        </is>
      </c>
      <c r="E25" t="inlineStr">
        <is>
          <t>ADDRESS(row,col,abs)</t>
        </is>
      </c>
      <c r="F25" t="inlineStr">
        <is>
          <t>Returns text</t>
        </is>
      </c>
    </row>
    <row r="26">
      <c r="A26" t="inlineStr">
        <is>
          <t>NA</t>
        </is>
      </c>
      <c r="B26" t="inlineStr">
        <is>
          <t>Info</t>
        </is>
      </c>
      <c r="C26" t="inlineStr">
        <is>
          <t>Revenue, Statistical</t>
        </is>
      </c>
      <c r="D26" t="inlineStr">
        <is>
          <t>Return NA error</t>
        </is>
      </c>
      <c r="E26" t="inlineStr">
        <is>
          <t>NA()</t>
        </is>
      </c>
      <c r="F26" t="inlineStr">
        <is>
          <t>Intentional NA</t>
        </is>
      </c>
    </row>
    <row r="27">
      <c r="A27" t="inlineStr">
        <is>
          <t>SUM</t>
        </is>
      </c>
      <c r="B27" t="inlineStr">
        <is>
          <t>Math</t>
        </is>
      </c>
      <c r="C27" t="inlineStr">
        <is>
          <t>Revenue Model, Sales</t>
        </is>
      </c>
      <c r="D27" t="inlineStr">
        <is>
          <t>Sum range</t>
        </is>
      </c>
      <c r="E27" t="inlineStr">
        <is>
          <t>SUM(range)</t>
        </is>
      </c>
      <c r="F27" t="inlineStr">
        <is>
          <t>Total</t>
        </is>
      </c>
    </row>
    <row r="28">
      <c r="A28" t="inlineStr">
        <is>
          <t>SUMPRODUCT</t>
        </is>
      </c>
      <c r="B28" t="inlineStr">
        <is>
          <t>Math</t>
        </is>
      </c>
      <c r="C28" t="inlineStr">
        <is>
          <t>Employee, Product, Sales</t>
        </is>
      </c>
      <c r="D28" t="inlineStr">
        <is>
          <t>Array multiply+sum</t>
        </is>
      </c>
      <c r="E28" t="inlineStr">
        <is>
          <t>SUMPRODUCT(arr1,arr2)</t>
        </is>
      </c>
      <c r="F28" t="inlineStr">
        <is>
          <t>Multi-condition</t>
        </is>
      </c>
    </row>
    <row r="29">
      <c r="A29" t="inlineStr">
        <is>
          <t>ROUND</t>
        </is>
      </c>
      <c r="B29" t="inlineStr">
        <is>
          <t>Math</t>
        </is>
      </c>
      <c r="C29" t="inlineStr">
        <is>
          <t>Revenue, DCF</t>
        </is>
      </c>
      <c r="D29" t="inlineStr">
        <is>
          <t>Round to n decimals</t>
        </is>
      </c>
      <c r="E29" t="inlineStr">
        <is>
          <t>ROUND(num,digits)</t>
        </is>
      </c>
      <c r="F29" t="inlineStr">
        <is>
          <t>Standard round</t>
        </is>
      </c>
    </row>
    <row r="30">
      <c r="A30" t="inlineStr">
        <is>
          <t>ROUNDDOWN</t>
        </is>
      </c>
      <c r="B30" t="inlineStr">
        <is>
          <t>Math</t>
        </is>
      </c>
      <c r="C30" t="inlineStr">
        <is>
          <t>Employee, DCF</t>
        </is>
      </c>
      <c r="D30" t="inlineStr">
        <is>
          <t>Round toward zero</t>
        </is>
      </c>
      <c r="E30" t="inlineStr">
        <is>
          <t>ROUNDDOWN(num,digits)</t>
        </is>
      </c>
      <c r="F30" t="inlineStr">
        <is>
          <t>Floor</t>
        </is>
      </c>
    </row>
    <row r="31">
      <c r="A31" t="inlineStr">
        <is>
          <t>AVERAGE</t>
        </is>
      </c>
      <c r="B31" t="inlineStr">
        <is>
          <t>Statistical</t>
        </is>
      </c>
      <c r="C31" t="inlineStr">
        <is>
          <t>Revenue, Employee, Stats</t>
        </is>
      </c>
      <c r="D31" t="inlineStr">
        <is>
          <t>Arithmetic mean</t>
        </is>
      </c>
      <c r="E31" t="inlineStr">
        <is>
          <t>AVERAGE(range)</t>
        </is>
      </c>
      <c r="F31" t="inlineStr">
        <is>
          <t>Central tendency</t>
        </is>
      </c>
    </row>
    <row r="32">
      <c r="A32" t="inlineStr">
        <is>
          <t>STDEV</t>
        </is>
      </c>
      <c r="B32" t="inlineStr">
        <is>
          <t>Statistical</t>
        </is>
      </c>
      <c r="C32" t="inlineStr">
        <is>
          <t>Revenue, Employee, Stats</t>
        </is>
      </c>
      <c r="D32" t="inlineStr">
        <is>
          <t>Sample std deviation</t>
        </is>
      </c>
      <c r="E32" t="inlineStr">
        <is>
          <t>STDEV(range)</t>
        </is>
      </c>
      <c r="F32" t="inlineStr">
        <is>
          <t>Dispersion</t>
        </is>
      </c>
    </row>
    <row r="33">
      <c r="A33" t="inlineStr">
        <is>
          <t>NORMDIST</t>
        </is>
      </c>
      <c r="B33" t="inlineStr">
        <is>
          <t>Statistical</t>
        </is>
      </c>
      <c r="C33" t="inlineStr">
        <is>
          <t>Statistical Analysis</t>
        </is>
      </c>
      <c r="D33" t="inlineStr">
        <is>
          <t>Normal distribution</t>
        </is>
      </c>
      <c r="E33" t="inlineStr">
        <is>
          <t>NORMDIST(x,mean,sd,cumul)</t>
        </is>
      </c>
      <c r="F33" t="inlineStr">
        <is>
          <t>CDF/PDF</t>
        </is>
      </c>
    </row>
    <row r="34">
      <c r="A34" t="inlineStr">
        <is>
          <t>MAX</t>
        </is>
      </c>
      <c r="B34" t="inlineStr">
        <is>
          <t>Statistical</t>
        </is>
      </c>
      <c r="C34" t="inlineStr">
        <is>
          <t>Revenue, Sales, Stats</t>
        </is>
      </c>
      <c r="D34" t="inlineStr">
        <is>
          <t>Maximum value</t>
        </is>
      </c>
      <c r="E34" t="inlineStr">
        <is>
          <t>MAX(range)</t>
        </is>
      </c>
      <c r="F34" t="inlineStr">
        <is>
          <t>Peak</t>
        </is>
      </c>
    </row>
    <row r="35">
      <c r="A35" t="inlineStr">
        <is>
          <t>MIN</t>
        </is>
      </c>
      <c r="B35" t="inlineStr">
        <is>
          <t>Statistical</t>
        </is>
      </c>
      <c r="C35" t="inlineStr">
        <is>
          <t>Revenue, Sales, Stats</t>
        </is>
      </c>
      <c r="D35" t="inlineStr">
        <is>
          <t>Minimum value</t>
        </is>
      </c>
      <c r="E35" t="inlineStr">
        <is>
          <t>MIN(range)</t>
        </is>
      </c>
      <c r="F35" t="inlineStr">
        <is>
          <t>Trough</t>
        </is>
      </c>
    </row>
    <row r="36">
      <c r="A36" t="inlineStr">
        <is>
          <t>LARGE</t>
        </is>
      </c>
      <c r="B36" t="inlineStr">
        <is>
          <t>Statistical</t>
        </is>
      </c>
      <c r="C36" t="inlineStr">
        <is>
          <t>Revenue, Sales, Product</t>
        </is>
      </c>
      <c r="D36" t="inlineStr">
        <is>
          <t>Nth largest value</t>
        </is>
      </c>
      <c r="E36" t="inlineStr">
        <is>
          <t>LARGE(range,n)</t>
        </is>
      </c>
      <c r="F36" t="inlineStr">
        <is>
          <t>Rankings</t>
        </is>
      </c>
    </row>
    <row r="37">
      <c r="A37" t="inlineStr">
        <is>
          <t>RANK</t>
        </is>
      </c>
      <c r="B37" t="inlineStr">
        <is>
          <t>Statistical</t>
        </is>
      </c>
      <c r="C37" t="inlineStr">
        <is>
          <t>Sales Tracker</t>
        </is>
      </c>
      <c r="D37" t="inlineStr">
        <is>
          <t>Rank in range</t>
        </is>
      </c>
      <c r="E37" t="inlineStr">
        <is>
          <t>RANK(val,range,order)</t>
        </is>
      </c>
      <c r="F37" t="inlineStr">
        <is>
          <t>Leaderboard</t>
        </is>
      </c>
    </row>
    <row r="38">
      <c r="A38" t="inlineStr">
        <is>
          <t>COUNT</t>
        </is>
      </c>
      <c r="B38" t="inlineStr">
        <is>
          <t>Statistical</t>
        </is>
      </c>
      <c r="C38" t="inlineStr">
        <is>
          <t>Statistical, Toolkit</t>
        </is>
      </c>
      <c r="D38" t="inlineStr">
        <is>
          <t>Count numeric cells</t>
        </is>
      </c>
      <c r="E38" t="inlineStr">
        <is>
          <t>COUNT(range)</t>
        </is>
      </c>
      <c r="F38" t="inlineStr">
        <is>
          <t>Numbers only</t>
        </is>
      </c>
    </row>
    <row r="39">
      <c r="A39" t="inlineStr">
        <is>
          <t>COUNTA</t>
        </is>
      </c>
      <c r="B39" t="inlineStr">
        <is>
          <t>Statistical</t>
        </is>
      </c>
      <c r="C39" t="inlineStr">
        <is>
          <t>Employee, Toolkit</t>
        </is>
      </c>
      <c r="D39" t="inlineStr">
        <is>
          <t>Count non-blank cells</t>
        </is>
      </c>
      <c r="E39" t="inlineStr">
        <is>
          <t>COUNTA(range)</t>
        </is>
      </c>
      <c r="F39" t="inlineStr">
        <is>
          <t>All data types</t>
        </is>
      </c>
    </row>
    <row r="40">
      <c r="A40" t="inlineStr">
        <is>
          <t>COUNTIF</t>
        </is>
      </c>
      <c r="B40" t="inlineStr">
        <is>
          <t>Statistical</t>
        </is>
      </c>
      <c r="C40" t="inlineStr">
        <is>
          <t>Revenue, Sales</t>
        </is>
      </c>
      <c r="D40" t="inlineStr">
        <is>
          <t>Count with condition</t>
        </is>
      </c>
      <c r="E40" t="inlineStr">
        <is>
          <t>COUNTIF(range,criteria)</t>
        </is>
      </c>
      <c r="F40" t="inlineStr">
        <is>
          <t>Filtered count</t>
        </is>
      </c>
    </row>
    <row r="41">
      <c r="A41" t="inlineStr">
        <is>
          <t>NPV</t>
        </is>
      </c>
      <c r="B41" t="inlineStr">
        <is>
          <t>Financial</t>
        </is>
      </c>
      <c r="C41" t="inlineStr">
        <is>
          <t>Revenue Model, DCF</t>
        </is>
      </c>
      <c r="D41" t="inlineStr">
        <is>
          <t>Net present value</t>
        </is>
      </c>
      <c r="E41" t="inlineStr">
        <is>
          <t>NPV(rate,values)</t>
        </is>
      </c>
      <c r="F41" t="inlineStr">
        <is>
          <t>Time value</t>
        </is>
      </c>
    </row>
    <row r="42">
      <c r="A42" t="inlineStr">
        <is>
          <t>LEFT</t>
        </is>
      </c>
      <c r="B42" t="inlineStr">
        <is>
          <t>Text</t>
        </is>
      </c>
      <c r="C42" t="inlineStr">
        <is>
          <t>Employee, Toolkit</t>
        </is>
      </c>
      <c r="D42" t="inlineStr">
        <is>
          <t>Left n characters</t>
        </is>
      </c>
      <c r="E42" t="inlineStr">
        <is>
          <t>LEFT(text,n)</t>
        </is>
      </c>
      <c r="F42" t="inlineStr">
        <is>
          <t>Substring</t>
        </is>
      </c>
    </row>
    <row r="43">
      <c r="A43" t="inlineStr">
        <is>
          <t>RIGHT</t>
        </is>
      </c>
      <c r="B43" t="inlineStr">
        <is>
          <t>Text</t>
        </is>
      </c>
      <c r="C43" t="inlineStr">
        <is>
          <t>DCF, Toolkit</t>
        </is>
      </c>
      <c r="D43" t="inlineStr">
        <is>
          <t>Right n characters</t>
        </is>
      </c>
      <c r="E43" t="inlineStr">
        <is>
          <t>RIGHT(text,n)</t>
        </is>
      </c>
      <c r="F43" t="inlineStr">
        <is>
          <t>Substring</t>
        </is>
      </c>
    </row>
    <row r="44">
      <c r="A44" t="inlineStr">
        <is>
          <t>MID</t>
        </is>
      </c>
      <c r="B44" t="inlineStr">
        <is>
          <t>Text</t>
        </is>
      </c>
      <c r="C44" t="inlineStr">
        <is>
          <t>DCF, Toolkit</t>
        </is>
      </c>
      <c r="D44" t="inlineStr">
        <is>
          <t>Middle characters</t>
        </is>
      </c>
      <c r="E44" t="inlineStr">
        <is>
          <t>MID(text,start,n)</t>
        </is>
      </c>
      <c r="F44" t="inlineStr">
        <is>
          <t>Substring</t>
        </is>
      </c>
    </row>
    <row r="45">
      <c r="A45" t="inlineStr">
        <is>
          <t>CONCATENATE</t>
        </is>
      </c>
      <c r="B45" t="inlineStr">
        <is>
          <t>Text</t>
        </is>
      </c>
      <c r="C45" t="inlineStr">
        <is>
          <t>Employee, Toolkit</t>
        </is>
      </c>
      <c r="D45" t="inlineStr">
        <is>
          <t>Join text strings</t>
        </is>
      </c>
      <c r="E45" t="inlineStr">
        <is>
          <t>CONCATENATE(t1,t2,...)</t>
        </is>
      </c>
      <c r="F45" t="inlineStr">
        <is>
          <t>String join</t>
        </is>
      </c>
    </row>
    <row r="46">
      <c r="A46" t="inlineStr">
        <is>
          <t>TEXT</t>
        </is>
      </c>
      <c r="B46" t="inlineStr">
        <is>
          <t>Text</t>
        </is>
      </c>
      <c r="C46" t="inlineStr">
        <is>
          <t>Revenue, DCF, Toolkit</t>
        </is>
      </c>
      <c r="D46" t="inlineStr">
        <is>
          <t>Format as text</t>
        </is>
      </c>
      <c r="E46" t="inlineStr">
        <is>
          <t>TEXT(val,format)</t>
        </is>
      </c>
      <c r="F46" t="inlineStr">
        <is>
          <t>Display format</t>
        </is>
      </c>
    </row>
    <row r="47">
      <c r="A47" t="inlineStr">
        <is>
          <t>VALUE</t>
        </is>
      </c>
      <c r="B47" t="inlineStr">
        <is>
          <t>Text</t>
        </is>
      </c>
      <c r="C47" t="inlineStr">
        <is>
          <t>Toolkit</t>
        </is>
      </c>
      <c r="D47" t="inlineStr">
        <is>
          <t>Text string to number</t>
        </is>
      </c>
      <c r="E47" t="inlineStr">
        <is>
          <t>VALUE(text)</t>
        </is>
      </c>
      <c r="F47" t="inlineStr">
        <is>
          <t>Parse number</t>
        </is>
      </c>
    </row>
    <row r="48">
      <c r="A48" t="inlineStr">
        <is>
          <t>NUMBERVALUE</t>
        </is>
      </c>
      <c r="B48" t="inlineStr">
        <is>
          <t>Text</t>
        </is>
      </c>
      <c r="C48" t="inlineStr">
        <is>
          <t>Product Lookup, Toolkit</t>
        </is>
      </c>
      <c r="D48" t="inlineStr">
        <is>
          <t>Locale-aware parse</t>
        </is>
      </c>
      <c r="E48" t="inlineStr">
        <is>
          <t>NUMBERVALUE(t,dec,grp)</t>
        </is>
      </c>
      <c r="F48" t="inlineStr">
        <is>
          <t>EU decimals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fastpyxl 1.0.9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fastpyxl</dc:creator>
  <dcterms:created xsi:type="dcterms:W3CDTF">2026-06-18T15:26:05Z</dcterms:created>
  <dcterms:modified xsi:type="dcterms:W3CDTF">2026-06-18T16:15:17Z</dcterms:modified>
</cp:coreProperties>
</file>