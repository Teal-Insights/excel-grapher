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end" sheetId="1" r:id="rId1"/>
    <sheet name="Ext" sheetId="2" r:id="rId2"/>
    <sheet name="Compress" sheetId="3" r:id="rId3"/>
    <sheet name="Taco" sheetId="4" r:id="rId4"/>
  </sheets>
  <calcPr calcId="124519" fullCalcOnLoad="1"/>
</workbook>
</file>

<file path=xl/sharedStrings.xml><?xml version="1.0" encoding="utf-8"?>
<sst xmlns="http://schemas.openxmlformats.org/spreadsheetml/2006/main" count="74" uniqueCount="60">
  <si>
    <t>Step</t>
  </si>
  <si>
    <t>Rule id</t>
  </si>
  <si>
    <t>Description</t>
  </si>
  <si>
    <t>pass_through</t>
  </si>
  <si>
    <t>Rewrite formulas that reference pass-through cells (=B5) to the ultimate target.</t>
  </si>
  <si>
    <t>parallel_if_row</t>
  </si>
  <si>
    <t>Merge contiguous same-row formulas with a shared template into ParallelFormulaNode.</t>
  </si>
  <si>
    <t>constant_folding</t>
  </si>
  <si>
    <t>Pre-compute literal-only subexpressions (e.g. =2+3 → 5).</t>
  </si>
  <si>
    <t>4a</t>
  </si>
  <si>
    <t>common_subexpression</t>
  </si>
  <si>
    <t>Cell CSE fixpoint: hoist shared subtrees to _cse! bindings.</t>
  </si>
  <si>
    <t>4b</t>
  </si>
  <si>
    <t>Post-CSE constant fold on formulas that still contain literals.</t>
  </si>
  <si>
    <t>5–9</t>
  </si>
  <si>
    <t>taco_rr … taco_rr_chain</t>
  </si>
  <si>
    <t>TACO range-pattern compression (RR, RF, FR, FF, RR-Chain) on the Taco sheet.</t>
  </si>
  <si>
    <t>(remaining)</t>
  </si>
  <si>
    <t>Add any per-cell formulas not absorbed by artifacts to the compressed map.</t>
  </si>
  <si>
    <t>4c</t>
  </si>
  <si>
    <t>Artifact CSE across ParallelFormulaNode and TacoPatternNode templates.</t>
  </si>
  <si>
    <t>Shared flag</t>
  </si>
  <si>
    <t>D col</t>
  </si>
  <si>
    <t>E col</t>
  </si>
  <si>
    <t>F col</t>
  </si>
  <si>
    <t>Yes</t>
  </si>
  <si>
    <t>Formula AST compression demos</t>
  </si>
  <si>
    <t>Rule 1</t>
  </si>
  <si>
    <t>A (transit)</t>
  </si>
  <si>
    <t>B (source)</t>
  </si>
  <si>
    <t>C = A+10</t>
  </si>
  <si>
    <t>D = A*2</t>
  </si>
  <si>
    <t>Rule 2</t>
  </si>
  <si>
    <t>D</t>
  </si>
  <si>
    <t>E</t>
  </si>
  <si>
    <t>F</t>
  </si>
  <si>
    <t>Rule 3</t>
  </si>
  <si>
    <t>Rule 4a</t>
  </si>
  <si>
    <t>B</t>
  </si>
  <si>
    <t>C</t>
  </si>
  <si>
    <t>TACO rules 5–9 (column autofill)</t>
  </si>
  <si>
    <t>RR</t>
  </si>
  <si>
    <t>D=B*C</t>
  </si>
  <si>
    <t>RF</t>
  </si>
  <si>
    <t>F=SUM(E:$E$11)</t>
  </si>
  <si>
    <t>FR</t>
  </si>
  <si>
    <t>G</t>
  </si>
  <si>
    <t>H=SUM($G$3:G)</t>
  </si>
  <si>
    <t>FF</t>
  </si>
  <si>
    <t>J</t>
  </si>
  <si>
    <t>K=VLOOKUP</t>
  </si>
  <si>
    <t>M</t>
  </si>
  <si>
    <t>N</t>
  </si>
  <si>
    <t>alpha</t>
  </si>
  <si>
    <t>beta</t>
  </si>
  <si>
    <t>gamma</t>
  </si>
  <si>
    <t>delta</t>
  </si>
  <si>
    <t>epsilon</t>
  </si>
  <si>
    <t>RR-Chain</t>
  </si>
  <si>
    <t>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</si>
</sst>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.7109375" customWidth="1"/>
    <col min="2" max="2" width="28.7109375" customWidth="1"/>
    <col min="3" max="3" width="7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7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>
        <v>10</v>
      </c>
      <c r="B8" t="s">
        <v>17</v>
      </c>
      <c r="C8" t="s">
        <v>18</v>
      </c>
    </row>
    <row r="9" spans="1:3">
      <c r="A9" t="s">
        <v>19</v>
      </c>
      <c r="B9" t="s">
        <v>10</v>
      </c>
      <c r="C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D1:G87"/>
  <sheetViews>
    <sheetView workbookViewId="0"/>
  </sheetViews>
  <sheetFormatPr defaultRowHeight="15"/>
  <cols>
    <col min="4" max="7" width="10.7109375" customWidth="1"/>
  </cols>
  <sheetData>
    <row r="1" spans="4:7">
      <c r="D1" t="s">
        <v>21</v>
      </c>
      <c r="E1" t="s">
        <v>22</v>
      </c>
      <c r="F1" t="s">
        <v>23</v>
      </c>
      <c r="G1" t="s">
        <v>24</v>
      </c>
    </row>
    <row r="3" spans="4:7">
      <c r="D3" t="s">
        <v>25</v>
      </c>
    </row>
    <row r="87" spans="4:6">
      <c r="D87">
        <v>10</v>
      </c>
      <c r="E87">
        <v>20</v>
      </c>
      <c r="F8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7" width="16.7109375" customWidth="1"/>
  </cols>
  <sheetData>
    <row r="1" spans="1:6">
      <c r="A1" t="s">
        <v>26</v>
      </c>
    </row>
    <row r="3" spans="1:6">
      <c r="A3" t="s">
        <v>27</v>
      </c>
      <c r="B3" t="s">
        <v>3</v>
      </c>
    </row>
    <row r="4" spans="1:6">
      <c r="A4" t="s">
        <v>28</v>
      </c>
      <c r="B4" t="s">
        <v>29</v>
      </c>
      <c r="C4" t="s">
        <v>30</v>
      </c>
      <c r="D4" t="s">
        <v>31</v>
      </c>
    </row>
    <row r="5" spans="1:6">
      <c r="A5">
        <f>B5</f>
        <v>42.0</v>
      </c>
      <c r="B5">
        <v>42</v>
      </c>
      <c r="C5">
        <f>A5+10</f>
        <v>52.0</v>
      </c>
      <c r="D5">
        <f>A5*2</f>
        <v>84.0</v>
      </c>
    </row>
    <row r="8" spans="1:6">
      <c r="A8" t="s">
        <v>32</v>
      </c>
      <c r="B8" t="s">
        <v>5</v>
      </c>
    </row>
    <row r="9" spans="1:6">
      <c r="D9" t="s">
        <v>33</v>
      </c>
      <c r="E9" t="s">
        <v>34</v>
      </c>
      <c r="F9" t="s">
        <v>35</v>
      </c>
    </row>
    <row r="10" spans="1:6">
      <c r="D10">
        <f>IF(Ext!$D$3="No",NA(),Ext!D87)</f>
        <v>10.0</v>
      </c>
      <c r="E10">
        <f>IF(Ext!$D$3="No",NA(),Ext!E87)</f>
        <v>20.0</v>
      </c>
      <c r="F10">
        <f>IF(Ext!$D$3="No",NA(),Ext!F87)</f>
        <v>30.0</v>
      </c>
    </row>
    <row r="12" spans="1:6">
      <c r="A12" t="s">
        <v>36</v>
      </c>
      <c r="B12" t="s">
        <v>7</v>
      </c>
    </row>
    <row r="13" spans="1:6">
      <c r="A13">
        <f>2+3</f>
        <v>0</v>
      </c>
      <c r="B13">
        <f>4*4</f>
        <v>0</v>
      </c>
      <c r="C13">
        <f>"Hello"&amp;" "&amp;"World"</f>
        <v>0</v>
      </c>
    </row>
    <row r="14" spans="1:6">
      <c r="A14">
        <f>2+3</f>
        <v>5.0</v>
      </c>
      <c r="B14">
        <f>4*4</f>
        <v>16.0</v>
      </c>
      <c r="C14" t="str">
        <f>"Hello"&amp;" "&amp;"World"</f>
        <v>Hello World</v>
      </c>
    </row>
    <row r="16" spans="1:6">
      <c r="A16" t="s">
        <v>37</v>
      </c>
      <c r="B16" t="s">
        <v>10</v>
      </c>
    </row>
    <row r="17" spans="1:3">
      <c r="B17">
        <v>1</v>
      </c>
      <c r="C17">
        <v>2</v>
      </c>
    </row>
    <row r="18" spans="1:3">
      <c r="A18">
        <f>(B17+C17)*2</f>
        <v>6.0</v>
      </c>
    </row>
    <row r="19" spans="1:3">
      <c r="A19">
        <f>(B17+C17)*3</f>
        <v>9.0</v>
      </c>
    </row>
    <row r="20" spans="1:3">
      <c r="A20">
        <f>(B17+C17)+10</f>
        <v>13.0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" width="3.7109375" customWidth="1"/>
    <col min="2" max="17" width="14.7109375" customWidth="1"/>
  </cols>
  <sheetData>
    <row r="1" spans="1:16">
      <c r="A1" t="s">
        <v>40</v>
      </c>
    </row>
    <row r="2" spans="1:16">
      <c r="B2" t="s">
        <v>38</v>
      </c>
      <c r="C2" t="s">
        <v>39</v>
      </c>
      <c r="D2" t="s">
        <v>42</v>
      </c>
      <c r="E2" t="s">
        <v>34</v>
      </c>
      <c r="F2" t="s">
        <v>44</v>
      </c>
      <c r="G2" t="s">
        <v>46</v>
      </c>
      <c r="H2" t="s">
        <v>47</v>
      </c>
      <c r="J2" t="s">
        <v>49</v>
      </c>
      <c r="K2" t="s">
        <v>50</v>
      </c>
      <c r="M2" t="s">
        <v>51</v>
      </c>
      <c r="N2" t="s">
        <v>52</v>
      </c>
      <c r="P2" t="s">
        <v>59</v>
      </c>
    </row>
    <row r="3" spans="1:16">
      <c r="B3">
        <v>1</v>
      </c>
      <c r="C3">
        <v>10</v>
      </c>
      <c r="D3">
        <f>B3*C3</f>
        <v>10.0</v>
      </c>
      <c r="E3">
        <v>10</v>
      </c>
      <c r="F3">
        <f>SUM(E3:$E$11)</f>
        <v>90.0</v>
      </c>
      <c r="G3">
        <v>1</v>
      </c>
      <c r="H3">
        <f>SUM($G$3:G3)</f>
        <v>0</v>
      </c>
      <c r="J3" t="s">
        <v>53</v>
      </c>
      <c r="K3">
        <f>VLOOKUP(J3,$M$3:$N$7,2,FALSE)</f>
        <v>100.0</v>
      </c>
      <c r="M3" t="s">
        <v>53</v>
      </c>
      <c r="N3">
        <v>100</v>
      </c>
      <c r="P3">
        <v>1</v>
      </c>
    </row>
    <row r="4" spans="1:16">
      <c r="B4">
        <v>2</v>
      </c>
      <c r="C4">
        <v>20</v>
      </c>
      <c r="D4">
        <f>B4*C4</f>
        <v>40.0</v>
      </c>
      <c r="E4">
        <v>10</v>
      </c>
      <c r="F4">
        <f>SUM(E4:$E$11)</f>
        <v>80.0</v>
      </c>
      <c r="G4">
        <v>2</v>
      </c>
      <c r="H4">
        <f>SUM($G$3:G4)</f>
        <v>1</v>
      </c>
      <c r="J4" t="s">
        <v>54</v>
      </c>
      <c r="K4">
        <f>VLOOKUP(J4,$M$3:$N$7,2,FALSE)</f>
        <v>200.0</v>
      </c>
      <c r="M4" t="s">
        <v>54</v>
      </c>
      <c r="N4">
        <v>200</v>
      </c>
      <c r="P4">
        <f>P3+1</f>
        <v>3.0</v>
      </c>
    </row>
    <row r="5" spans="1:16">
      <c r="B5">
        <v>3</v>
      </c>
      <c r="C5">
        <v>30</v>
      </c>
      <c r="D5">
        <f>B5*C5</f>
        <v>90.0</v>
      </c>
      <c r="E5">
        <v>10</v>
      </c>
      <c r="F5">
        <f>SUM(E5:$E$11)</f>
        <v>70.0</v>
      </c>
      <c r="G5">
        <v>3</v>
      </c>
      <c r="H5">
        <f>SUM($G$3:G5)</f>
        <v>3</v>
      </c>
      <c r="J5" t="s">
        <v>55</v>
      </c>
      <c r="K5">
        <f>VLOOKUP(J5,$M$3:$N$7,2,FALSE)</f>
        <v>300.0</v>
      </c>
      <c r="M5" t="s">
        <v>55</v>
      </c>
      <c r="N5">
        <v>300</v>
      </c>
      <c r="P5">
        <f>P4+1</f>
        <v>4.0</v>
      </c>
    </row>
    <row r="6" spans="1:16">
      <c r="B6">
        <v>4</v>
      </c>
      <c r="C6">
        <v>40</v>
      </c>
      <c r="D6">
        <f>B6*C6</f>
        <v>160.0</v>
      </c>
      <c r="E6">
        <v>10</v>
      </c>
      <c r="F6">
        <f>SUM(E6:$E$11)</f>
        <v>60.0</v>
      </c>
      <c r="G6">
        <v>4</v>
      </c>
      <c r="H6">
        <f>SUM($G$3:G6)</f>
        <v>6</v>
      </c>
      <c r="J6" t="s">
        <v>56</v>
      </c>
      <c r="K6">
        <f>VLOOKUP(J6,$M$3:$N$7,2,FALSE)</f>
        <v>400.0</v>
      </c>
      <c r="M6" t="s">
        <v>56</v>
      </c>
      <c r="N6">
        <v>400</v>
      </c>
      <c r="P6">
        <f>P5+1</f>
        <v>5.0</v>
      </c>
    </row>
    <row r="7" spans="1:16">
      <c r="B7">
        <v>5</v>
      </c>
      <c r="C7">
        <v>50</v>
      </c>
      <c r="D7">
        <f>B7*C7</f>
        <v>250.0</v>
      </c>
      <c r="E7">
        <v>10</v>
      </c>
      <c r="F7">
        <f>SUM(E7:$E$11)</f>
        <v>50.0</v>
      </c>
      <c r="G7">
        <v>5</v>
      </c>
      <c r="H7">
        <f>SUM($G$3:G7)</f>
        <v>10</v>
      </c>
      <c r="J7" t="s">
        <v>57</v>
      </c>
      <c r="K7">
        <f>VLOOKUP(J7,$M$3:$N$7,2,FALSE)</f>
        <v>500.0</v>
      </c>
      <c r="M7" t="s">
        <v>57</v>
      </c>
      <c r="N7">
        <v>500</v>
      </c>
      <c r="P7">
        <f>P6+1</f>
        <v>6.0</v>
      </c>
    </row>
    <row r="8" spans="1:16">
      <c r="E8">
        <v>10</v>
      </c>
    </row>
    <row r="9" spans="1:16">
      <c r="E9">
        <v>10</v>
      </c>
    </row>
    <row r="10" spans="1:16">
      <c r="E10">
        <v>10</v>
      </c>
    </row>
    <row r="11" spans="1:16">
      <c r="E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Ext</vt:lpstr>
      <vt:lpstr>Compress</vt:lpstr>
      <vt:lpstr>Taco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2026-07-07T15:39:09Z</dcterms:created>
  <dcterms:modified xsi:type="dcterms:W3CDTF">2026-07-07T15:39:09Z</dcterms:modified>
</cp:coreProperties>
</file>