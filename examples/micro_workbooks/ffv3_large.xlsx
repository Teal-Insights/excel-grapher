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4845\Downloads\"/>
    </mc:Choice>
  </mc:AlternateContent>
  <xr:revisionPtr revIDLastSave="0" documentId="8_{99EB16CF-FCD0-4F43-B44D-459F229B0022}" xr6:coauthVersionLast="47" xr6:coauthVersionMax="47" xr10:uidLastSave="{00000000-0000-0000-0000-000000000000}"/>
  <bookViews>
    <workbookView xWindow="-110" yWindow="-110" windowWidth="19420" windowHeight="10420" tabRatio="500" firstSheet="3" activeTab="5" xr2:uid="{00000000-000D-0000-FFFF-FFFF00000000}"/>
  </bookViews>
  <sheets>
    <sheet name="QB - Stafford" sheetId="1" r:id="rId1"/>
    <sheet name="RB - K.Williams" sheetId="2" r:id="rId2"/>
    <sheet name="RB - B.Corum" sheetId="3" r:id="rId3"/>
    <sheet name="WR - P.Nacua" sheetId="4" r:id="rId4"/>
    <sheet name="WR - D.Adams" sheetId="5" r:id="rId5"/>
    <sheet name="Aggregate Stat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2" i="6" l="1" a="1"/>
  <c r="J31" i="6" a="1"/>
  <c r="J30" i="6" a="1"/>
  <c r="J29" i="6" a="1"/>
  <c r="J28" i="6" a="1"/>
  <c r="I32" i="6" a="1"/>
  <c r="I31" i="6" a="1"/>
  <c r="I30" i="6" a="1"/>
  <c r="I29" i="6" a="1"/>
  <c r="I28" i="6" a="1"/>
  <c r="H32" i="6" a="1"/>
  <c r="H31" i="6" a="1"/>
  <c r="H30" i="6" a="1"/>
  <c r="H29" i="6" a="1"/>
  <c r="H28" i="6" a="1"/>
  <c r="G32" i="6" a="1"/>
  <c r="G31" i="6" a="1"/>
  <c r="G30" i="6" a="1"/>
  <c r="G29" i="6" a="1"/>
  <c r="G28" i="6" a="1"/>
  <c r="F32" i="6" a="1"/>
  <c r="F31" i="6" a="1"/>
  <c r="F30" i="6" a="1"/>
  <c r="F29" i="6" a="1"/>
  <c r="F28" i="6" a="1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AA5" i="6"/>
  <c r="AA6" i="6"/>
  <c r="AA7" i="6"/>
  <c r="AA8" i="6"/>
  <c r="AA4" i="6"/>
  <c r="C16" i="6"/>
  <c r="C15" i="6"/>
  <c r="C14" i="6"/>
  <c r="C13" i="6"/>
  <c r="C12" i="6"/>
  <c r="H27" i="5"/>
  <c r="G27" i="5"/>
  <c r="F27" i="5"/>
  <c r="H25" i="5"/>
  <c r="G25" i="5"/>
  <c r="F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H27" i="4"/>
  <c r="G27" i="4"/>
  <c r="F27" i="4"/>
  <c r="H25" i="4"/>
  <c r="G25" i="4"/>
  <c r="F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G27" i="3"/>
  <c r="F27" i="3"/>
  <c r="E27" i="3"/>
  <c r="G25" i="3"/>
  <c r="F25" i="3"/>
  <c r="E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7" i="2"/>
  <c r="F27" i="2"/>
  <c r="E27" i="2"/>
  <c r="G25" i="2"/>
  <c r="F25" i="2"/>
  <c r="E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L27" i="1"/>
  <c r="K27" i="1"/>
  <c r="J27" i="1"/>
  <c r="I27" i="1"/>
  <c r="H27" i="1"/>
  <c r="G27" i="1"/>
  <c r="F27" i="1"/>
  <c r="E27" i="1"/>
  <c r="L25" i="1"/>
  <c r="K25" i="1"/>
  <c r="J25" i="1"/>
  <c r="I25" i="1"/>
  <c r="H25" i="1"/>
  <c r="G25" i="1"/>
  <c r="F25" i="1"/>
  <c r="E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31" i="6"/>
  <c r="K31" i="6"/>
  <c r="L30" i="6"/>
  <c r="K30" i="6"/>
  <c r="L29" i="6"/>
  <c r="K29" i="6"/>
  <c r="E29" i="6"/>
  <c r="D29" i="6"/>
  <c r="C29" i="6"/>
  <c r="G23" i="6"/>
  <c r="F23" i="6"/>
  <c r="G22" i="6"/>
  <c r="F22" i="6"/>
  <c r="D22" i="6"/>
  <c r="C22" i="6"/>
  <c r="G21" i="6"/>
  <c r="F21" i="6"/>
  <c r="D21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V4" i="6"/>
  <c r="U4" i="6"/>
  <c r="T4" i="6"/>
  <c r="S4" i="6"/>
  <c r="R4" i="6"/>
  <c r="Q4" i="6"/>
  <c r="P4" i="6"/>
  <c r="Z16" i="6" l="1"/>
  <c r="X16" i="6"/>
  <c r="Y16" i="6"/>
  <c r="W16" i="6"/>
  <c r="Y15" i="6"/>
  <c r="Y14" i="6"/>
  <c r="X14" i="6"/>
  <c r="W14" i="6"/>
  <c r="Y13" i="6"/>
  <c r="Y12" i="6"/>
  <c r="X13" i="6"/>
  <c r="W13" i="6"/>
  <c r="Z15" i="6"/>
  <c r="W15" i="6"/>
  <c r="X15" i="6"/>
  <c r="Z14" i="6"/>
  <c r="Z13" i="6"/>
  <c r="Z12" i="6"/>
  <c r="X12" i="6"/>
  <c r="W12" i="6"/>
  <c r="E31" i="6"/>
  <c r="H27" i="2"/>
  <c r="H25" i="2"/>
  <c r="M27" i="1"/>
  <c r="M25" i="1"/>
  <c r="D31" i="6"/>
  <c r="C31" i="6"/>
  <c r="E8" i="6"/>
  <c r="G24" i="6" s="1"/>
  <c r="D24" i="6" s="1"/>
  <c r="D8" i="6"/>
  <c r="C8" i="6"/>
  <c r="Z7" i="6"/>
  <c r="Y7" i="6"/>
  <c r="W7" i="6"/>
  <c r="Z6" i="6"/>
  <c r="Y6" i="6"/>
  <c r="W6" i="6"/>
  <c r="Z5" i="6"/>
  <c r="Y5" i="6"/>
  <c r="W5" i="6"/>
  <c r="Y4" i="6"/>
  <c r="D23" i="6"/>
  <c r="C23" i="6"/>
  <c r="E23" i="6" s="1"/>
  <c r="E22" i="6"/>
  <c r="C21" i="6"/>
  <c r="E21" i="6" s="1"/>
  <c r="O4" i="6"/>
  <c r="N4" i="6"/>
  <c r="M4" i="6"/>
  <c r="L4" i="6"/>
  <c r="K4" i="6"/>
  <c r="J4" i="6"/>
  <c r="I4" i="6"/>
  <c r="H4" i="6"/>
  <c r="G4" i="6"/>
  <c r="F4" i="6"/>
  <c r="E4" i="6"/>
  <c r="G20" i="6" s="1"/>
  <c r="D20" i="6" s="1"/>
  <c r="D4" i="6"/>
  <c r="C4" i="6"/>
  <c r="Y8" i="6"/>
  <c r="I27" i="4"/>
  <c r="I25" i="4"/>
  <c r="H27" i="3"/>
  <c r="H25" i="3"/>
  <c r="E30" i="6"/>
  <c r="D30" i="6"/>
  <c r="C30" i="6"/>
  <c r="I27" i="5"/>
  <c r="I25" i="5"/>
  <c r="L32" i="6" l="1"/>
  <c r="Z8" i="6"/>
  <c r="C32" i="6"/>
  <c r="D32" i="6"/>
  <c r="K32" i="6"/>
  <c r="E32" i="6"/>
  <c r="W8" i="6"/>
  <c r="F24" i="6"/>
  <c r="C24" i="6" s="1"/>
  <c r="E24" i="6" s="1"/>
  <c r="E28" i="6"/>
  <c r="W4" i="6"/>
  <c r="Z4" i="6"/>
  <c r="K28" i="6"/>
  <c r="F20" i="6"/>
  <c r="C20" i="6" s="1"/>
  <c r="E20" i="6" s="1"/>
  <c r="C28" i="6"/>
  <c r="D28" i="6"/>
  <c r="L28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<sst xmlns="http://schemas.openxmlformats.org/spreadsheetml/2006/main" count="624" uniqueCount="149">
  <si>
    <t>LA Rams 2025 | QB: Matthew Stafford — Game-by-Game Stats</t>
  </si>
  <si>
    <t>Regular Season (W1–W18) + Playoffs | Source: CBS Sports / NFL.com</t>
  </si>
  <si>
    <t>Week</t>
  </si>
  <si>
    <t>Date</t>
  </si>
  <si>
    <t>Opp</t>
  </si>
  <si>
    <t>Result</t>
  </si>
  <si>
    <t>Pass Att</t>
  </si>
  <si>
    <t>Pass Cmp</t>
  </si>
  <si>
    <t>Pass Yds</t>
  </si>
  <si>
    <t>Pass TD</t>
  </si>
  <si>
    <t>INT</t>
  </si>
  <si>
    <t>Rush Yds</t>
  </si>
  <si>
    <t>Rush TD</t>
  </si>
  <si>
    <t>Fumbles Lost</t>
  </si>
  <si>
    <t>Fantasy Score</t>
  </si>
  <si>
    <t>W1</t>
  </si>
  <si>
    <t>Sep 7</t>
  </si>
  <si>
    <t>H HOU</t>
  </si>
  <si>
    <t>W 14-9</t>
  </si>
  <si>
    <t>W2</t>
  </si>
  <si>
    <t>Sep 14</t>
  </si>
  <si>
    <t>A TEN</t>
  </si>
  <si>
    <t>W 33-19</t>
  </si>
  <si>
    <t>W3</t>
  </si>
  <si>
    <t>Sep 21</t>
  </si>
  <si>
    <t>A PHI</t>
  </si>
  <si>
    <t>L 26-33</t>
  </si>
  <si>
    <t>W4</t>
  </si>
  <si>
    <t>Sep 28</t>
  </si>
  <si>
    <t>H IND</t>
  </si>
  <si>
    <t>W 27-20</t>
  </si>
  <si>
    <t>W5</t>
  </si>
  <si>
    <t>Oct 2</t>
  </si>
  <si>
    <t>H SF</t>
  </si>
  <si>
    <t>L 23-26</t>
  </si>
  <si>
    <t>W6</t>
  </si>
  <si>
    <t>Oct 12</t>
  </si>
  <si>
    <t>A BAL</t>
  </si>
  <si>
    <t>W 17-3</t>
  </si>
  <si>
    <t>W7</t>
  </si>
  <si>
    <t>Oct 19</t>
  </si>
  <si>
    <t>A JAC</t>
  </si>
  <si>
    <t>W 35-7</t>
  </si>
  <si>
    <t>W9</t>
  </si>
  <si>
    <t>Nov 2</t>
  </si>
  <si>
    <t>H NO</t>
  </si>
  <si>
    <t>W 34-10</t>
  </si>
  <si>
    <t>W10</t>
  </si>
  <si>
    <t>Nov 9</t>
  </si>
  <si>
    <t>A SF</t>
  </si>
  <si>
    <t>W 42-26</t>
  </si>
  <si>
    <t>W11</t>
  </si>
  <si>
    <t>Nov 16</t>
  </si>
  <si>
    <t>H SEA</t>
  </si>
  <si>
    <t>W 21-19</t>
  </si>
  <si>
    <t>W12</t>
  </si>
  <si>
    <t>Nov 23</t>
  </si>
  <si>
    <t>H TB</t>
  </si>
  <si>
    <t>W 34-7</t>
  </si>
  <si>
    <t>W13</t>
  </si>
  <si>
    <t>Nov 30</t>
  </si>
  <si>
    <t>A CAR</t>
  </si>
  <si>
    <t>L 28-31</t>
  </si>
  <si>
    <t>W14</t>
  </si>
  <si>
    <t>Dec 7</t>
  </si>
  <si>
    <t>A ARI</t>
  </si>
  <si>
    <t>W 45-17</t>
  </si>
  <si>
    <t>W15</t>
  </si>
  <si>
    <t>Dec 14</t>
  </si>
  <si>
    <t>H DET</t>
  </si>
  <si>
    <t>W 41-34</t>
  </si>
  <si>
    <t>W16</t>
  </si>
  <si>
    <t>Dec 18</t>
  </si>
  <si>
    <t>A SEA</t>
  </si>
  <si>
    <t>L 37-38</t>
  </si>
  <si>
    <t>W17</t>
  </si>
  <si>
    <t>Dec 29</t>
  </si>
  <si>
    <t>A ATL</t>
  </si>
  <si>
    <t>L 24-27</t>
  </si>
  <si>
    <t>W18</t>
  </si>
  <si>
    <t>Jan 4</t>
  </si>
  <si>
    <t>H ARI</t>
  </si>
  <si>
    <t>W 37-20</t>
  </si>
  <si>
    <t>PO1</t>
  </si>
  <si>
    <t>Jan 10</t>
  </si>
  <si>
    <t>W 34-31 (WC)</t>
  </si>
  <si>
    <t>PO2</t>
  </si>
  <si>
    <t>Jan 18</t>
  </si>
  <si>
    <t>A CHI</t>
  </si>
  <si>
    <t>W 20-17 (DIV)</t>
  </si>
  <si>
    <t>PO3</t>
  </si>
  <si>
    <t>Jan 25</t>
  </si>
  <si>
    <t>L 27-31 (NFCCG)</t>
  </si>
  <si>
    <t>REG SEASON TOTALS</t>
  </si>
  <si>
    <t>PLAYOFF TOTALS</t>
  </si>
  <si>
    <t>LA Rams 2025 | RB: Kyren Williams — Game-by-Game Stats</t>
  </si>
  <si>
    <t>Regular Season (W1–W18) + Playoffs | Source: NFL.com</t>
  </si>
  <si>
    <t>Rush Att</t>
  </si>
  <si>
    <t>LA Rams 2025 | RB: Blake Corum — Game-by-Game Stats</t>
  </si>
  <si>
    <t>LA Rams 2025 | WR: Puka Nacua — Game-by-Game Stats</t>
  </si>
  <si>
    <t>Regular Season (W1–W18) + Playoffs | Source: NFL.com / CBS Sports  *Targets marked N/A where not publicly available in game log</t>
  </si>
  <si>
    <t>Touchdowns</t>
  </si>
  <si>
    <t>Receptions</t>
  </si>
  <si>
    <t>Rec Yds</t>
  </si>
  <si>
    <t>N/A</t>
  </si>
  <si>
    <t>—</t>
  </si>
  <si>
    <t>LA Rams 2025 | WR: Davante Adams — Game-by-Game Stats</t>
  </si>
  <si>
    <t>Targets</t>
  </si>
  <si>
    <t>LA RAMS 2025 — OFFENSIVE FANTASY POINTS: AGGREGATE STATS</t>
  </si>
  <si>
    <t>Standard scoring: Pass Yds ÷25 | Pass TD ×4 | INT ×−2 | Rush/Rec Yds ÷10 | Rush/Rec TD ×6 | Fumble Lost ×−2  |  W8 = BYE</t>
  </si>
  <si>
    <t>Player</t>
  </si>
  <si>
    <t>Pos</t>
  </si>
  <si>
    <t>Reg Total</t>
  </si>
  <si>
    <t>Reg Avg</t>
  </si>
  <si>
    <t>PO Total</t>
  </si>
  <si>
    <t>Best
Game</t>
  </si>
  <si>
    <t>Worst
Game</t>
  </si>
  <si>
    <t>M. Stafford</t>
  </si>
  <si>
    <t>QB</t>
  </si>
  <si>
    <t>K. Williams</t>
  </si>
  <si>
    <t>RB</t>
  </si>
  <si>
    <t>B. Corum</t>
  </si>
  <si>
    <t>P. Nacua</t>
  </si>
  <si>
    <t>WR</t>
  </si>
  <si>
    <t>D. Adams</t>
  </si>
  <si>
    <t>WEEKLY FANTASY RANKINGS — Who led the Rams each week?</t>
  </si>
  <si>
    <t>Reg #1 Weeks</t>
  </si>
  <si>
    <t>Reg Avg Rank</t>
  </si>
  <si>
    <t>PO #1 Weeks</t>
  </si>
  <si>
    <t>Best Rank</t>
  </si>
  <si>
    <t>WIN / LOSS FANTASY SPLIT — Avg Fantasy Pts in Wins vs. Losses (Regular Season)</t>
  </si>
  <si>
    <t>Avg in Wins</t>
  </si>
  <si>
    <t>Avg in Losses</t>
  </si>
  <si>
    <t>Diff (W−L)</t>
  </si>
  <si>
    <t>Total in Wins</t>
  </si>
  <si>
    <t>Total in Losses</t>
  </si>
  <si>
    <t>Win Games</t>
  </si>
  <si>
    <t>Loss Games</t>
  </si>
  <si>
    <t>BEST &amp; WORST SINGLE-GAME FANTASY PERFORMANCES (Regular Season + Playoffs)</t>
  </si>
  <si>
    <t>Best Score</t>
  </si>
  <si>
    <t>Best Week</t>
  </si>
  <si>
    <t>Best Opp</t>
  </si>
  <si>
    <t>Worst Score</t>
  </si>
  <si>
    <t>Worst Week</t>
  </si>
  <si>
    <t>Worst Opp</t>
  </si>
  <si>
    <t>Median Score</t>
  </si>
  <si>
    <t>Std Dev</t>
  </si>
  <si>
    <t>20+ Pt Games</t>
  </si>
  <si>
    <t>30+ Pt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</si>
</sst>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333333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b/>
      <sz val="14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FFFFFF"/>
      <name val="Arial"/>
      <family val="2"/>
    </font>
    <font>
      <sz val="9"/>
      <color rgb="FFCC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b/>
      <sz val="9"/>
      <color rgb="FF1A5C38"/>
      <name val="Arial"/>
      <family val="2"/>
    </font>
    <font>
      <sz val="9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3594"/>
        <bgColor rgb="FF1F3864"/>
      </patternFill>
    </fill>
    <fill>
      <patternFill patternType="solid">
        <fgColor rgb="FFFFF3CD"/>
        <bgColor rgb="FFFFF3E0"/>
      </patternFill>
    </fill>
    <fill>
      <patternFill patternType="solid">
        <fgColor rgb="FF1F3864"/>
        <bgColor rgb="FF3A3A6B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E8F5E9"/>
      </patternFill>
    </fill>
    <fill>
      <patternFill patternType="solid">
        <fgColor rgb="FFFFA300"/>
        <bgColor rgb="FFFFCC00"/>
      </patternFill>
    </fill>
    <fill>
      <patternFill patternType="solid">
        <fgColor rgb="FF1A5C38"/>
        <bgColor rgb="FF2E7D32"/>
      </patternFill>
    </fill>
    <fill>
      <patternFill patternType="solid">
        <fgColor rgb="FF8B1A1A"/>
        <bgColor rgb="FF800000"/>
      </patternFill>
    </fill>
    <fill>
      <patternFill patternType="solid">
        <fgColor rgb="FFDCE6F1"/>
        <bgColor rgb="FFE8F5E9"/>
      </patternFill>
    </fill>
    <fill>
      <patternFill patternType="solid">
        <fgColor rgb="FF2E7D32"/>
        <bgColor rgb="FF1A5C38"/>
      </patternFill>
    </fill>
    <fill>
      <patternFill patternType="solid">
        <fgColor rgb="FF6A0DAD"/>
        <bgColor rgb="FF800080"/>
      </patternFill>
    </fill>
    <fill>
      <patternFill patternType="solid">
        <fgColor rgb="FFD0D0D0"/>
        <bgColor rgb="FFCCCCCC"/>
      </patternFill>
    </fill>
    <fill>
      <patternFill patternType="solid">
        <fgColor rgb="FF3A3A6B"/>
        <bgColor rgb="FF1F3864"/>
      </patternFill>
    </fill>
    <fill>
      <patternFill patternType="solid">
        <fgColor rgb="FFC8F4D0"/>
        <b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164" fontId="12" fillId="5" borderId="2" xfId="0" applyNumberFormat="1" applyFont="1" applyFill="1" applyBorder="1" applyAlignment="1">
      <alignment horizontal="center" vertical="center" wrapText="1"/>
    </xf>
    <xf numFmtId="164" fontId="13" fillId="10" borderId="2" xfId="0" applyNumberFormat="1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164" fontId="12" fillId="6" borderId="2" xfId="0" applyNumberFormat="1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2" fontId="7" fillId="8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164" fontId="7" fillId="11" borderId="2" xfId="0" applyNumberFormat="1" applyFont="1" applyFill="1" applyBorder="1" applyAlignment="1">
      <alignment horizontal="center" vertical="center" wrapText="1"/>
    </xf>
    <xf numFmtId="2" fontId="7" fillId="11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center" vertical="center" wrapText="1"/>
    </xf>
    <xf numFmtId="164" fontId="12" fillId="13" borderId="2" xfId="0" applyNumberFormat="1" applyFont="1" applyFill="1" applyBorder="1" applyAlignment="1">
      <alignment horizontal="center" vertical="center" wrapText="1"/>
    </xf>
    <xf numFmtId="164" fontId="7" fillId="12" borderId="2" xfId="0" applyNumberFormat="1" applyFont="1" applyFill="1" applyBorder="1" applyAlignment="1">
      <alignment horizontal="center" vertical="center" wrapText="1"/>
    </xf>
    <xf numFmtId="2" fontId="7" fillId="12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2" fontId="7" fillId="9" borderId="2" xfId="0" applyNumberFormat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2" fontId="17" fillId="2" borderId="2" xfId="0" applyNumberFormat="1" applyFont="1" applyFill="1" applyBorder="1" applyAlignment="1">
      <alignment horizontal="center" vertical="center" wrapText="1"/>
    </xf>
    <xf numFmtId="2" fontId="16" fillId="15" borderId="2" xfId="0" applyNumberFormat="1" applyFont="1" applyFill="1" applyBorder="1" applyAlignment="1">
      <alignment horizontal="center" vertical="center" wrapText="1"/>
    </xf>
    <xf numFmtId="1" fontId="17" fillId="2" borderId="2" xfId="0" applyNumberFormat="1" applyFont="1" applyFill="1" applyBorder="1" applyAlignment="1">
      <alignment horizontal="center" vertical="center" wrapText="1"/>
    </xf>
    <xf numFmtId="2" fontId="17" fillId="8" borderId="2" xfId="0" applyNumberFormat="1" applyFont="1" applyFill="1" applyBorder="1" applyAlignment="1">
      <alignment horizontal="center" vertical="center" wrapText="1"/>
    </xf>
    <xf numFmtId="1" fontId="17" fillId="8" borderId="2" xfId="0" applyNumberFormat="1" applyFont="1" applyFill="1" applyBorder="1" applyAlignment="1">
      <alignment horizontal="center" vertical="center" wrapText="1"/>
    </xf>
    <xf numFmtId="2" fontId="17" fillId="11" borderId="2" xfId="0" applyNumberFormat="1" applyFont="1" applyFill="1" applyBorder="1" applyAlignment="1">
      <alignment horizontal="center" vertical="center" wrapText="1"/>
    </xf>
    <xf numFmtId="1" fontId="17" fillId="11" borderId="2" xfId="0" applyNumberFormat="1" applyFont="1" applyFill="1" applyBorder="1" applyAlignment="1">
      <alignment horizontal="center" vertical="center" wrapText="1"/>
    </xf>
    <xf numFmtId="2" fontId="17" fillId="12" borderId="2" xfId="0" applyNumberFormat="1" applyFont="1" applyFill="1" applyBorder="1" applyAlignment="1">
      <alignment horizontal="center" vertical="center" wrapText="1"/>
    </xf>
    <xf numFmtId="1" fontId="17" fillId="12" borderId="2" xfId="0" applyNumberFormat="1" applyFont="1" applyFill="1" applyBorder="1" applyAlignment="1">
      <alignment horizontal="center" vertical="center" wrapText="1"/>
    </xf>
    <xf numFmtId="2" fontId="17" fillId="9" borderId="2" xfId="0" applyNumberFormat="1" applyFont="1" applyFill="1" applyBorder="1" applyAlignment="1">
      <alignment horizontal="center" vertical="center" wrapText="1"/>
    </xf>
    <xf numFmtId="1" fontId="17" fillId="9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6A0DAD"/>
      <rgbColor rgb="FF008080"/>
      <rgbColor rgb="FFCCCCCC"/>
      <rgbColor rgb="FF808080"/>
      <rgbColor rgb="FF9999FF"/>
      <rgbColor rgb="FF993366"/>
      <rgbColor rgb="FFFFF3CD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8F4D0"/>
      <rgbColor rgb="FFFFF3E0"/>
      <rgbColor rgb="FFDCE6F1"/>
      <rgbColor rgb="FFFF99CC"/>
      <rgbColor rgb="FFCC99FF"/>
      <rgbColor rgb="FFFFEBEE"/>
      <rgbColor rgb="FF3366FF"/>
      <rgbColor rgb="FF33CCCC"/>
      <rgbColor rgb="FF99CC00"/>
      <rgbColor rgb="FFFFCC00"/>
      <rgbColor rgb="FFFFA300"/>
      <rgbColor rgb="FFE65100"/>
      <rgbColor rgb="FF666666"/>
      <rgbColor rgb="FF969696"/>
      <rgbColor rgb="FF003594"/>
      <rgbColor rgb="FF2E7D32"/>
      <rgbColor rgb="FF003300"/>
      <rgbColor rgb="FF1F3864"/>
      <rgbColor rgb="FF8B1A1A"/>
      <rgbColor rgb="FF993366"/>
      <rgbColor rgb="FF3A3A6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zoomScaleNormal="100" workbookViewId="0">
      <selection activeCell="D4" sqref="D4"/>
    </sheetView>
  </sheetViews>
  <sheetFormatPr defaultColWidth="8.6328125" defaultRowHeight="14.5" x14ac:dyDescent="0.35"/>
  <cols>
    <col min="1" max="1" width="6" customWidth="1"/>
    <col min="2" max="3" width="8" customWidth="1"/>
    <col min="4" max="4" width="16" customWidth="1"/>
    <col min="5" max="5" width="10.453125" customWidth="1"/>
    <col min="6" max="8" width="9" customWidth="1"/>
    <col min="9" max="9" width="6" customWidth="1"/>
    <col min="10" max="11" width="9" customWidth="1"/>
    <col min="12" max="12" width="12" customWidth="1"/>
  </cols>
  <sheetData>
    <row r="1" spans="1:13" ht="24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4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5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8" t="s">
        <v>14</v>
      </c>
    </row>
    <row r="4" spans="1:13" ht="14.25" customHeight="1" x14ac:dyDescent="0.35">
      <c r="A4" s="9" t="s">
        <v>15</v>
      </c>
      <c r="B4" s="9" t="s">
        <v>16</v>
      </c>
      <c r="C4" s="9" t="s">
        <v>17</v>
      </c>
      <c r="D4" s="9" t="s">
        <v>18</v>
      </c>
      <c r="E4" s="9">
        <v>29</v>
      </c>
      <c r="F4" s="9">
        <v>21</v>
      </c>
      <c r="G4" s="9">
        <v>245</v>
      </c>
      <c r="H4" s="9">
        <v>1</v>
      </c>
      <c r="I4" s="9">
        <v>0</v>
      </c>
      <c r="J4" s="9">
        <v>-2</v>
      </c>
      <c r="K4" s="9">
        <v>0</v>
      </c>
      <c r="L4" s="9">
        <v>1</v>
      </c>
      <c r="M4" s="9">
        <f t="shared" ref="M4:M24" si="0">0.04*G4+4*H4+0.1*J4-2*L4</f>
        <v>11.600000000000001</v>
      </c>
    </row>
    <row r="5" spans="1:13" ht="14.25" customHeight="1" x14ac:dyDescent="0.35">
      <c r="A5" s="10" t="s">
        <v>19</v>
      </c>
      <c r="B5" s="10" t="s">
        <v>20</v>
      </c>
      <c r="C5" s="10" t="s">
        <v>21</v>
      </c>
      <c r="D5" s="10" t="s">
        <v>22</v>
      </c>
      <c r="E5" s="10">
        <v>33</v>
      </c>
      <c r="F5" s="10">
        <v>23</v>
      </c>
      <c r="G5" s="10">
        <v>298</v>
      </c>
      <c r="H5" s="10">
        <v>2</v>
      </c>
      <c r="I5" s="10">
        <v>1</v>
      </c>
      <c r="J5" s="10">
        <v>-6</v>
      </c>
      <c r="K5" s="10">
        <v>0</v>
      </c>
      <c r="L5" s="10">
        <v>1</v>
      </c>
      <c r="M5" s="9">
        <f t="shared" si="0"/>
        <v>17.32</v>
      </c>
    </row>
    <row r="6" spans="1:13" ht="14.25" customHeight="1" x14ac:dyDescent="0.35">
      <c r="A6" s="9" t="s">
        <v>23</v>
      </c>
      <c r="B6" s="9" t="s">
        <v>24</v>
      </c>
      <c r="C6" s="9" t="s">
        <v>25</v>
      </c>
      <c r="D6" s="9" t="s">
        <v>26</v>
      </c>
      <c r="E6" s="9">
        <v>34</v>
      </c>
      <c r="F6" s="9">
        <v>19</v>
      </c>
      <c r="G6" s="9">
        <v>196</v>
      </c>
      <c r="H6" s="9">
        <v>2</v>
      </c>
      <c r="I6" s="9">
        <v>1</v>
      </c>
      <c r="J6" s="9">
        <v>0</v>
      </c>
      <c r="K6" s="9">
        <v>0</v>
      </c>
      <c r="L6" s="9">
        <v>0</v>
      </c>
      <c r="M6" s="9">
        <f t="shared" si="0"/>
        <v>15.84</v>
      </c>
    </row>
    <row r="7" spans="1:13" ht="14.25" customHeight="1" x14ac:dyDescent="0.35">
      <c r="A7" s="10" t="s">
        <v>27</v>
      </c>
      <c r="B7" s="10" t="s">
        <v>28</v>
      </c>
      <c r="C7" s="10" t="s">
        <v>29</v>
      </c>
      <c r="D7" s="10" t="s">
        <v>30</v>
      </c>
      <c r="E7" s="10">
        <v>41</v>
      </c>
      <c r="F7" s="10">
        <v>29</v>
      </c>
      <c r="G7" s="10">
        <v>375</v>
      </c>
      <c r="H7" s="10">
        <v>3</v>
      </c>
      <c r="I7" s="10">
        <v>0</v>
      </c>
      <c r="J7" s="10">
        <v>4</v>
      </c>
      <c r="K7" s="10">
        <v>0</v>
      </c>
      <c r="L7" s="10">
        <v>0</v>
      </c>
      <c r="M7" s="9">
        <f t="shared" si="0"/>
        <v>27.4</v>
      </c>
    </row>
    <row r="8" spans="1:13" ht="14.25" customHeight="1" x14ac:dyDescent="0.35">
      <c r="A8" s="9" t="s">
        <v>31</v>
      </c>
      <c r="B8" s="9" t="s">
        <v>32</v>
      </c>
      <c r="C8" s="9" t="s">
        <v>33</v>
      </c>
      <c r="D8" s="9" t="s">
        <v>34</v>
      </c>
      <c r="E8" s="9">
        <v>47</v>
      </c>
      <c r="F8" s="9">
        <v>30</v>
      </c>
      <c r="G8" s="9">
        <v>389</v>
      </c>
      <c r="H8" s="9">
        <v>3</v>
      </c>
      <c r="I8" s="9">
        <v>0</v>
      </c>
      <c r="J8" s="9">
        <v>0</v>
      </c>
      <c r="K8" s="9">
        <v>0</v>
      </c>
      <c r="L8" s="9">
        <v>1</v>
      </c>
      <c r="M8" s="9">
        <f t="shared" si="0"/>
        <v>25.560000000000002</v>
      </c>
    </row>
    <row r="9" spans="1:13" ht="14.25" customHeight="1" x14ac:dyDescent="0.35">
      <c r="A9" s="10" t="s">
        <v>35</v>
      </c>
      <c r="B9" s="10" t="s">
        <v>36</v>
      </c>
      <c r="C9" s="10" t="s">
        <v>37</v>
      </c>
      <c r="D9" s="10" t="s">
        <v>38</v>
      </c>
      <c r="E9" s="10">
        <v>26</v>
      </c>
      <c r="F9" s="10">
        <v>17</v>
      </c>
      <c r="G9" s="10">
        <v>181</v>
      </c>
      <c r="H9" s="10">
        <v>1</v>
      </c>
      <c r="I9" s="10">
        <v>0</v>
      </c>
      <c r="J9" s="10">
        <v>1</v>
      </c>
      <c r="K9" s="10">
        <v>0</v>
      </c>
      <c r="L9" s="10">
        <v>0</v>
      </c>
      <c r="M9" s="9">
        <f t="shared" si="0"/>
        <v>11.34</v>
      </c>
    </row>
    <row r="10" spans="1:13" ht="14.25" customHeight="1" x14ac:dyDescent="0.35">
      <c r="A10" s="9" t="s">
        <v>39</v>
      </c>
      <c r="B10" s="9" t="s">
        <v>40</v>
      </c>
      <c r="C10" s="9" t="s">
        <v>41</v>
      </c>
      <c r="D10" s="9" t="s">
        <v>42</v>
      </c>
      <c r="E10" s="9">
        <v>33</v>
      </c>
      <c r="F10" s="9">
        <v>21</v>
      </c>
      <c r="G10" s="9">
        <v>182</v>
      </c>
      <c r="H10" s="9">
        <v>5</v>
      </c>
      <c r="I10" s="9">
        <v>0</v>
      </c>
      <c r="J10" s="9">
        <v>1</v>
      </c>
      <c r="K10" s="9">
        <v>0</v>
      </c>
      <c r="L10" s="9">
        <v>0</v>
      </c>
      <c r="M10" s="9">
        <f t="shared" si="0"/>
        <v>27.380000000000003</v>
      </c>
    </row>
    <row r="11" spans="1:13" ht="14.25" customHeight="1" x14ac:dyDescent="0.35">
      <c r="A11" s="10" t="s">
        <v>43</v>
      </c>
      <c r="B11" s="10" t="s">
        <v>44</v>
      </c>
      <c r="C11" s="10" t="s">
        <v>45</v>
      </c>
      <c r="D11" s="10" t="s">
        <v>46</v>
      </c>
      <c r="E11" s="10">
        <v>32</v>
      </c>
      <c r="F11" s="10">
        <v>24</v>
      </c>
      <c r="G11" s="10">
        <v>281</v>
      </c>
      <c r="H11" s="10">
        <v>4</v>
      </c>
      <c r="I11" s="10">
        <v>0</v>
      </c>
      <c r="J11" s="10">
        <v>-4</v>
      </c>
      <c r="K11" s="10">
        <v>0</v>
      </c>
      <c r="L11" s="10">
        <v>0</v>
      </c>
      <c r="M11" s="9">
        <f t="shared" si="0"/>
        <v>26.840000000000003</v>
      </c>
    </row>
    <row r="12" spans="1:13" ht="14.25" customHeight="1" x14ac:dyDescent="0.35">
      <c r="A12" s="9" t="s">
        <v>47</v>
      </c>
      <c r="B12" s="9" t="s">
        <v>48</v>
      </c>
      <c r="C12" s="9" t="s">
        <v>49</v>
      </c>
      <c r="D12" s="9" t="s">
        <v>50</v>
      </c>
      <c r="E12" s="9">
        <v>36</v>
      </c>
      <c r="F12" s="9">
        <v>24</v>
      </c>
      <c r="G12" s="9">
        <v>280</v>
      </c>
      <c r="H12" s="9">
        <v>4</v>
      </c>
      <c r="I12" s="9">
        <v>0</v>
      </c>
      <c r="J12" s="9">
        <v>-3</v>
      </c>
      <c r="K12" s="9">
        <v>0</v>
      </c>
      <c r="L12" s="9">
        <v>0</v>
      </c>
      <c r="M12" s="9">
        <f t="shared" si="0"/>
        <v>26.900000000000002</v>
      </c>
    </row>
    <row r="13" spans="1:13" ht="14.25" customHeight="1" x14ac:dyDescent="0.35">
      <c r="A13" s="10" t="s">
        <v>51</v>
      </c>
      <c r="B13" s="10" t="s">
        <v>52</v>
      </c>
      <c r="C13" s="10" t="s">
        <v>53</v>
      </c>
      <c r="D13" s="10" t="s">
        <v>54</v>
      </c>
      <c r="E13" s="10">
        <v>28</v>
      </c>
      <c r="F13" s="10">
        <v>15</v>
      </c>
      <c r="G13" s="10">
        <v>130</v>
      </c>
      <c r="H13" s="10">
        <v>2</v>
      </c>
      <c r="I13" s="10">
        <v>0</v>
      </c>
      <c r="J13" s="10">
        <v>0</v>
      </c>
      <c r="K13" s="10">
        <v>0</v>
      </c>
      <c r="L13" s="10">
        <v>0</v>
      </c>
      <c r="M13" s="9">
        <f t="shared" si="0"/>
        <v>13.2</v>
      </c>
    </row>
    <row r="14" spans="1:13" ht="14.25" customHeight="1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>
        <v>35</v>
      </c>
      <c r="F14" s="9">
        <v>25</v>
      </c>
      <c r="G14" s="9">
        <v>273</v>
      </c>
      <c r="H14" s="9">
        <v>3</v>
      </c>
      <c r="I14" s="9">
        <v>0</v>
      </c>
      <c r="J14" s="9">
        <v>0</v>
      </c>
      <c r="K14" s="9">
        <v>0</v>
      </c>
      <c r="L14" s="9">
        <v>0</v>
      </c>
      <c r="M14" s="9">
        <f t="shared" si="0"/>
        <v>22.92</v>
      </c>
    </row>
    <row r="15" spans="1:13" ht="14.25" customHeight="1" x14ac:dyDescent="0.35">
      <c r="A15" s="10" t="s">
        <v>59</v>
      </c>
      <c r="B15" s="10" t="s">
        <v>60</v>
      </c>
      <c r="C15" s="10" t="s">
        <v>61</v>
      </c>
      <c r="D15" s="10" t="s">
        <v>62</v>
      </c>
      <c r="E15" s="10">
        <v>28</v>
      </c>
      <c r="F15" s="10">
        <v>18</v>
      </c>
      <c r="G15" s="10">
        <v>243</v>
      </c>
      <c r="H15" s="10">
        <v>2</v>
      </c>
      <c r="I15" s="10">
        <v>2</v>
      </c>
      <c r="J15" s="10">
        <v>-1</v>
      </c>
      <c r="K15" s="10">
        <v>0</v>
      </c>
      <c r="L15" s="10">
        <v>0</v>
      </c>
      <c r="M15" s="9">
        <f t="shared" si="0"/>
        <v>17.619999999999997</v>
      </c>
    </row>
    <row r="16" spans="1:13" ht="14.25" customHeight="1" x14ac:dyDescent="0.35">
      <c r="A16" s="9" t="s">
        <v>63</v>
      </c>
      <c r="B16" s="9" t="s">
        <v>64</v>
      </c>
      <c r="C16" s="9" t="s">
        <v>65</v>
      </c>
      <c r="D16" s="9" t="s">
        <v>66</v>
      </c>
      <c r="E16" s="9">
        <v>31</v>
      </c>
      <c r="F16" s="9">
        <v>22</v>
      </c>
      <c r="G16" s="9">
        <v>281</v>
      </c>
      <c r="H16" s="9">
        <v>3</v>
      </c>
      <c r="I16" s="9">
        <v>0</v>
      </c>
      <c r="J16" s="9">
        <v>0</v>
      </c>
      <c r="K16" s="9">
        <v>0</v>
      </c>
      <c r="L16" s="9">
        <v>0</v>
      </c>
      <c r="M16" s="9">
        <f t="shared" si="0"/>
        <v>23.240000000000002</v>
      </c>
    </row>
    <row r="17" spans="1:13" ht="14.25" customHeight="1" x14ac:dyDescent="0.35">
      <c r="A17" s="10" t="s">
        <v>67</v>
      </c>
      <c r="B17" s="10" t="s">
        <v>68</v>
      </c>
      <c r="C17" s="10" t="s">
        <v>69</v>
      </c>
      <c r="D17" s="10" t="s">
        <v>70</v>
      </c>
      <c r="E17" s="10">
        <v>38</v>
      </c>
      <c r="F17" s="10">
        <v>24</v>
      </c>
      <c r="G17" s="10">
        <v>368</v>
      </c>
      <c r="H17" s="10">
        <v>2</v>
      </c>
      <c r="I17" s="10">
        <v>1</v>
      </c>
      <c r="J17" s="10">
        <v>2</v>
      </c>
      <c r="K17" s="10">
        <v>0</v>
      </c>
      <c r="L17" s="10">
        <v>0</v>
      </c>
      <c r="M17" s="9">
        <f t="shared" si="0"/>
        <v>22.919999999999998</v>
      </c>
    </row>
    <row r="18" spans="1:13" ht="14.25" customHeight="1" x14ac:dyDescent="0.35">
      <c r="A18" s="9" t="s">
        <v>71</v>
      </c>
      <c r="B18" s="9" t="s">
        <v>72</v>
      </c>
      <c r="C18" s="9" t="s">
        <v>73</v>
      </c>
      <c r="D18" s="9" t="s">
        <v>74</v>
      </c>
      <c r="E18" s="9">
        <v>49</v>
      </c>
      <c r="F18" s="9">
        <v>29</v>
      </c>
      <c r="G18" s="9">
        <v>457</v>
      </c>
      <c r="H18" s="9">
        <v>3</v>
      </c>
      <c r="I18" s="9">
        <v>0</v>
      </c>
      <c r="J18" s="9">
        <v>6</v>
      </c>
      <c r="K18" s="9">
        <v>0</v>
      </c>
      <c r="L18" s="9">
        <v>0</v>
      </c>
      <c r="M18" s="9">
        <f t="shared" si="0"/>
        <v>30.880000000000003</v>
      </c>
    </row>
    <row r="19" spans="1:13" ht="14.25" customHeight="1" x14ac:dyDescent="0.35">
      <c r="A19" s="10" t="s">
        <v>75</v>
      </c>
      <c r="B19" s="10" t="s">
        <v>76</v>
      </c>
      <c r="C19" s="10" t="s">
        <v>77</v>
      </c>
      <c r="D19" s="10" t="s">
        <v>78</v>
      </c>
      <c r="E19" s="10">
        <v>38</v>
      </c>
      <c r="F19" s="10">
        <v>22</v>
      </c>
      <c r="G19" s="10">
        <v>269</v>
      </c>
      <c r="H19" s="10">
        <v>2</v>
      </c>
      <c r="I19" s="10">
        <v>3</v>
      </c>
      <c r="J19" s="10">
        <v>0</v>
      </c>
      <c r="K19" s="10">
        <v>0</v>
      </c>
      <c r="L19" s="10">
        <v>0</v>
      </c>
      <c r="M19" s="9">
        <f t="shared" si="0"/>
        <v>18.759999999999998</v>
      </c>
    </row>
    <row r="20" spans="1:13" ht="14.25" customHeight="1" x14ac:dyDescent="0.35">
      <c r="A20" s="9" t="s">
        <v>79</v>
      </c>
      <c r="B20" s="9" t="s">
        <v>80</v>
      </c>
      <c r="C20" s="9" t="s">
        <v>81</v>
      </c>
      <c r="D20" s="9" t="s">
        <v>82</v>
      </c>
      <c r="E20" s="9">
        <v>40</v>
      </c>
      <c r="F20" s="9">
        <v>25</v>
      </c>
      <c r="G20" s="9">
        <v>259</v>
      </c>
      <c r="H20" s="9">
        <v>4</v>
      </c>
      <c r="I20" s="9">
        <v>0</v>
      </c>
      <c r="J20" s="9">
        <v>3</v>
      </c>
      <c r="K20" s="9">
        <v>0</v>
      </c>
      <c r="L20" s="9">
        <v>0</v>
      </c>
      <c r="M20" s="9">
        <f t="shared" si="0"/>
        <v>26.66</v>
      </c>
    </row>
    <row r="21" spans="1:13" ht="6" customHeight="1" x14ac:dyDescent="0.35">
      <c r="M21" s="9">
        <f t="shared" si="0"/>
        <v>0</v>
      </c>
    </row>
    <row r="22" spans="1:13" ht="14.25" customHeight="1" x14ac:dyDescent="0.35">
      <c r="A22" s="11" t="s">
        <v>83</v>
      </c>
      <c r="B22" s="11" t="s">
        <v>84</v>
      </c>
      <c r="C22" s="11" t="s">
        <v>61</v>
      </c>
      <c r="D22" s="11" t="s">
        <v>85</v>
      </c>
      <c r="E22" s="11">
        <v>42</v>
      </c>
      <c r="F22" s="11">
        <v>24</v>
      </c>
      <c r="G22" s="11">
        <v>304</v>
      </c>
      <c r="H22" s="11">
        <v>3</v>
      </c>
      <c r="I22" s="11">
        <v>1</v>
      </c>
      <c r="J22" s="11">
        <v>0</v>
      </c>
      <c r="K22" s="11">
        <v>0</v>
      </c>
      <c r="L22" s="11">
        <v>0</v>
      </c>
      <c r="M22" s="9">
        <f t="shared" si="0"/>
        <v>24.16</v>
      </c>
    </row>
    <row r="23" spans="1:13" ht="14.25" customHeight="1" x14ac:dyDescent="0.35">
      <c r="A23" s="12" t="s">
        <v>86</v>
      </c>
      <c r="B23" s="12" t="s">
        <v>87</v>
      </c>
      <c r="C23" s="12" t="s">
        <v>88</v>
      </c>
      <c r="D23" s="12" t="s">
        <v>89</v>
      </c>
      <c r="E23" s="12">
        <v>42</v>
      </c>
      <c r="F23" s="12">
        <v>20</v>
      </c>
      <c r="G23" s="12">
        <v>258</v>
      </c>
      <c r="H23" s="12">
        <v>0</v>
      </c>
      <c r="I23" s="12">
        <v>0</v>
      </c>
      <c r="J23" s="12">
        <v>-1</v>
      </c>
      <c r="K23" s="12">
        <v>0</v>
      </c>
      <c r="L23" s="12">
        <v>0</v>
      </c>
      <c r="M23" s="9">
        <f t="shared" si="0"/>
        <v>10.220000000000001</v>
      </c>
    </row>
    <row r="24" spans="1:13" ht="14.25" customHeight="1" x14ac:dyDescent="0.35">
      <c r="A24" s="11" t="s">
        <v>90</v>
      </c>
      <c r="B24" s="11" t="s">
        <v>91</v>
      </c>
      <c r="C24" s="11" t="s">
        <v>73</v>
      </c>
      <c r="D24" s="11" t="s">
        <v>92</v>
      </c>
      <c r="E24" s="11">
        <v>35</v>
      </c>
      <c r="F24" s="11">
        <v>22</v>
      </c>
      <c r="G24" s="11">
        <v>374</v>
      </c>
      <c r="H24" s="11">
        <v>3</v>
      </c>
      <c r="I24" s="11">
        <v>0</v>
      </c>
      <c r="J24" s="11">
        <v>16</v>
      </c>
      <c r="K24" s="11">
        <v>0</v>
      </c>
      <c r="L24" s="11">
        <v>0</v>
      </c>
      <c r="M24" s="9">
        <f t="shared" si="0"/>
        <v>28.560000000000002</v>
      </c>
    </row>
    <row r="25" spans="1:13" ht="57" customHeight="1" x14ac:dyDescent="0.35">
      <c r="A25" s="13" t="s">
        <v>93</v>
      </c>
      <c r="B25" s="13"/>
      <c r="C25" s="13"/>
      <c r="D25" s="13"/>
      <c r="E25" s="13">
        <f t="shared" ref="E25:M25" si="1">SUM(E4:E20)</f>
        <v>598</v>
      </c>
      <c r="F25" s="13">
        <f t="shared" si="1"/>
        <v>388</v>
      </c>
      <c r="G25" s="13">
        <f t="shared" si="1"/>
        <v>4707</v>
      </c>
      <c r="H25" s="13">
        <f t="shared" si="1"/>
        <v>46</v>
      </c>
      <c r="I25" s="13">
        <f t="shared" si="1"/>
        <v>8</v>
      </c>
      <c r="J25" s="13">
        <f t="shared" si="1"/>
        <v>1</v>
      </c>
      <c r="K25" s="13">
        <f t="shared" si="1"/>
        <v>0</v>
      </c>
      <c r="L25" s="13">
        <f t="shared" si="1"/>
        <v>3</v>
      </c>
      <c r="M25" s="13">
        <f t="shared" si="1"/>
        <v>366.38000000000005</v>
      </c>
    </row>
    <row r="27" spans="1:13" ht="45.75" customHeight="1" x14ac:dyDescent="0.35">
      <c r="A27" s="14" t="s">
        <v>94</v>
      </c>
      <c r="B27" s="14"/>
      <c r="C27" s="14"/>
      <c r="D27" s="14"/>
      <c r="E27" s="14">
        <f t="shared" ref="E27:M27" si="2">SUM(E22:E24)</f>
        <v>119</v>
      </c>
      <c r="F27" s="14">
        <f t="shared" si="2"/>
        <v>66</v>
      </c>
      <c r="G27" s="14">
        <f t="shared" si="2"/>
        <v>936</v>
      </c>
      <c r="H27" s="14">
        <f t="shared" si="2"/>
        <v>6</v>
      </c>
      <c r="I27" s="14">
        <f t="shared" si="2"/>
        <v>1</v>
      </c>
      <c r="J27" s="14">
        <f t="shared" si="2"/>
        <v>15</v>
      </c>
      <c r="K27" s="14">
        <f t="shared" si="2"/>
        <v>0</v>
      </c>
      <c r="L27" s="14">
        <f t="shared" si="2"/>
        <v>0</v>
      </c>
      <c r="M27" s="14">
        <f t="shared" si="2"/>
        <v>62.940000000000005</v>
      </c>
    </row>
  </sheetData>
  <mergeCells count="2">
    <mergeCell ref="A1:M1"/>
    <mergeCell ref="A2:M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opLeftCell="A17" zoomScaleNormal="100" workbookViewId="0">
      <selection activeCell="J22" sqref="J22"/>
    </sheetView>
  </sheetViews>
  <sheetFormatPr defaultColWidth="8.6328125" defaultRowHeight="14.5" x14ac:dyDescent="0.35"/>
  <cols>
    <col min="1" max="1" width="6" customWidth="1"/>
    <col min="2" max="3" width="8" customWidth="1"/>
    <col min="4" max="4" width="16" customWidth="1"/>
    <col min="5" max="7" width="9" customWidth="1"/>
  </cols>
  <sheetData>
    <row r="1" spans="1:8" ht="24" customHeight="1" x14ac:dyDescent="0.35">
      <c r="A1" s="3" t="s">
        <v>95</v>
      </c>
      <c r="B1" s="3"/>
      <c r="C1" s="3"/>
      <c r="D1" s="3"/>
      <c r="E1" s="3"/>
      <c r="F1" s="3"/>
      <c r="G1" s="3"/>
      <c r="H1" s="3"/>
    </row>
    <row r="2" spans="1:8" ht="14.25" customHeight="1" x14ac:dyDescent="0.35">
      <c r="A2" s="1" t="s">
        <v>96</v>
      </c>
      <c r="B2" s="1"/>
      <c r="C2" s="1"/>
      <c r="D2" s="1"/>
      <c r="E2" s="1"/>
      <c r="F2" s="1"/>
      <c r="G2" s="1"/>
      <c r="H2" s="1"/>
    </row>
    <row r="3" spans="1:8" ht="25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97</v>
      </c>
      <c r="F3" s="7" t="s">
        <v>11</v>
      </c>
      <c r="G3" s="7" t="s">
        <v>12</v>
      </c>
      <c r="H3" s="8" t="s">
        <v>14</v>
      </c>
    </row>
    <row r="4" spans="1:8" ht="14.25" customHeight="1" x14ac:dyDescent="0.35">
      <c r="A4" s="9" t="s">
        <v>15</v>
      </c>
      <c r="B4" s="9" t="s">
        <v>16</v>
      </c>
      <c r="C4" s="9" t="s">
        <v>17</v>
      </c>
      <c r="D4" s="9" t="s">
        <v>18</v>
      </c>
      <c r="E4" s="9">
        <v>18</v>
      </c>
      <c r="F4" s="9">
        <v>66</v>
      </c>
      <c r="G4" s="9">
        <v>1</v>
      </c>
      <c r="H4" s="9">
        <f t="shared" ref="H4:H24" si="0">0.1*F4+6*G4</f>
        <v>12.600000000000001</v>
      </c>
    </row>
    <row r="5" spans="1:8" ht="14.25" customHeight="1" x14ac:dyDescent="0.35">
      <c r="A5" s="10" t="s">
        <v>19</v>
      </c>
      <c r="B5" s="10" t="s">
        <v>20</v>
      </c>
      <c r="C5" s="10" t="s">
        <v>21</v>
      </c>
      <c r="D5" s="10" t="s">
        <v>22</v>
      </c>
      <c r="E5" s="10">
        <v>17</v>
      </c>
      <c r="F5" s="10">
        <v>66</v>
      </c>
      <c r="G5" s="10">
        <v>0</v>
      </c>
      <c r="H5" s="9">
        <f t="shared" si="0"/>
        <v>6.6000000000000005</v>
      </c>
    </row>
    <row r="6" spans="1:8" ht="14.25" customHeight="1" x14ac:dyDescent="0.35">
      <c r="A6" s="9" t="s">
        <v>23</v>
      </c>
      <c r="B6" s="9" t="s">
        <v>24</v>
      </c>
      <c r="C6" s="9" t="s">
        <v>25</v>
      </c>
      <c r="D6" s="9" t="s">
        <v>26</v>
      </c>
      <c r="E6" s="9">
        <v>20</v>
      </c>
      <c r="F6" s="9">
        <v>94</v>
      </c>
      <c r="G6" s="9">
        <v>0</v>
      </c>
      <c r="H6" s="9">
        <f t="shared" si="0"/>
        <v>9.4</v>
      </c>
    </row>
    <row r="7" spans="1:8" ht="14.25" customHeight="1" x14ac:dyDescent="0.35">
      <c r="A7" s="10" t="s">
        <v>27</v>
      </c>
      <c r="B7" s="10" t="s">
        <v>28</v>
      </c>
      <c r="C7" s="10" t="s">
        <v>29</v>
      </c>
      <c r="D7" s="10" t="s">
        <v>30</v>
      </c>
      <c r="E7" s="10">
        <v>13</v>
      </c>
      <c r="F7" s="10">
        <v>77</v>
      </c>
      <c r="G7" s="10">
        <v>0</v>
      </c>
      <c r="H7" s="9">
        <f t="shared" si="0"/>
        <v>7.7</v>
      </c>
    </row>
    <row r="8" spans="1:8" ht="14.25" customHeight="1" x14ac:dyDescent="0.35">
      <c r="A8" s="9" t="s">
        <v>31</v>
      </c>
      <c r="B8" s="9" t="s">
        <v>32</v>
      </c>
      <c r="C8" s="9" t="s">
        <v>33</v>
      </c>
      <c r="D8" s="9" t="s">
        <v>34</v>
      </c>
      <c r="E8" s="9">
        <v>14</v>
      </c>
      <c r="F8" s="9">
        <v>65</v>
      </c>
      <c r="G8" s="9">
        <v>0</v>
      </c>
      <c r="H8" s="9">
        <f t="shared" si="0"/>
        <v>6.5</v>
      </c>
    </row>
    <row r="9" spans="1:8" ht="14.25" customHeight="1" x14ac:dyDescent="0.35">
      <c r="A9" s="10" t="s">
        <v>35</v>
      </c>
      <c r="B9" s="10" t="s">
        <v>36</v>
      </c>
      <c r="C9" s="10" t="s">
        <v>37</v>
      </c>
      <c r="D9" s="10" t="s">
        <v>38</v>
      </c>
      <c r="E9" s="10">
        <v>13</v>
      </c>
      <c r="F9" s="10">
        <v>50</v>
      </c>
      <c r="G9" s="10">
        <v>1</v>
      </c>
      <c r="H9" s="9">
        <f t="shared" si="0"/>
        <v>11</v>
      </c>
    </row>
    <row r="10" spans="1:8" ht="14.25" customHeight="1" x14ac:dyDescent="0.35">
      <c r="A10" s="9" t="s">
        <v>39</v>
      </c>
      <c r="B10" s="9" t="s">
        <v>40</v>
      </c>
      <c r="C10" s="9" t="s">
        <v>41</v>
      </c>
      <c r="D10" s="9" t="s">
        <v>42</v>
      </c>
      <c r="E10" s="9">
        <v>12</v>
      </c>
      <c r="F10" s="9">
        <v>54</v>
      </c>
      <c r="G10" s="9">
        <v>0</v>
      </c>
      <c r="H10" s="9">
        <f t="shared" si="0"/>
        <v>5.4</v>
      </c>
    </row>
    <row r="11" spans="1:8" ht="14.25" customHeight="1" x14ac:dyDescent="0.35">
      <c r="A11" s="10" t="s">
        <v>43</v>
      </c>
      <c r="B11" s="10" t="s">
        <v>44</v>
      </c>
      <c r="C11" s="10" t="s">
        <v>45</v>
      </c>
      <c r="D11" s="10" t="s">
        <v>46</v>
      </c>
      <c r="E11" s="10">
        <v>25</v>
      </c>
      <c r="F11" s="10">
        <v>114</v>
      </c>
      <c r="G11" s="10">
        <v>1</v>
      </c>
      <c r="H11" s="9">
        <f t="shared" si="0"/>
        <v>17.399999999999999</v>
      </c>
    </row>
    <row r="12" spans="1:8" ht="14.25" customHeight="1" x14ac:dyDescent="0.35">
      <c r="A12" s="9" t="s">
        <v>47</v>
      </c>
      <c r="B12" s="9" t="s">
        <v>48</v>
      </c>
      <c r="C12" s="9" t="s">
        <v>49</v>
      </c>
      <c r="D12" s="9" t="s">
        <v>50</v>
      </c>
      <c r="E12" s="9">
        <v>14</v>
      </c>
      <c r="F12" s="9">
        <v>73</v>
      </c>
      <c r="G12" s="9">
        <v>2</v>
      </c>
      <c r="H12" s="9">
        <f t="shared" si="0"/>
        <v>19.3</v>
      </c>
    </row>
    <row r="13" spans="1:8" ht="14.25" customHeight="1" x14ac:dyDescent="0.35">
      <c r="A13" s="10" t="s">
        <v>51</v>
      </c>
      <c r="B13" s="10" t="s">
        <v>52</v>
      </c>
      <c r="C13" s="10" t="s">
        <v>53</v>
      </c>
      <c r="D13" s="10" t="s">
        <v>54</v>
      </c>
      <c r="E13" s="10">
        <v>12</v>
      </c>
      <c r="F13" s="10">
        <v>91</v>
      </c>
      <c r="G13" s="10">
        <v>1</v>
      </c>
      <c r="H13" s="9">
        <f t="shared" si="0"/>
        <v>15.1</v>
      </c>
    </row>
    <row r="14" spans="1:8" ht="14.25" customHeight="1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>
        <v>12</v>
      </c>
      <c r="F14" s="9">
        <v>46</v>
      </c>
      <c r="G14" s="9">
        <v>0</v>
      </c>
      <c r="H14" s="9">
        <f t="shared" si="0"/>
        <v>4.6000000000000005</v>
      </c>
    </row>
    <row r="15" spans="1:8" ht="14.25" customHeight="1" x14ac:dyDescent="0.35">
      <c r="A15" s="10" t="s">
        <v>59</v>
      </c>
      <c r="B15" s="10" t="s">
        <v>60</v>
      </c>
      <c r="C15" s="10" t="s">
        <v>61</v>
      </c>
      <c r="D15" s="10" t="s">
        <v>62</v>
      </c>
      <c r="E15" s="10">
        <v>13</v>
      </c>
      <c r="F15" s="10">
        <v>72</v>
      </c>
      <c r="G15" s="10">
        <v>1</v>
      </c>
      <c r="H15" s="9">
        <f t="shared" si="0"/>
        <v>13.2</v>
      </c>
    </row>
    <row r="16" spans="1:8" ht="14.25" customHeight="1" x14ac:dyDescent="0.35">
      <c r="A16" s="9" t="s">
        <v>63</v>
      </c>
      <c r="B16" s="9" t="s">
        <v>64</v>
      </c>
      <c r="C16" s="9" t="s">
        <v>65</v>
      </c>
      <c r="D16" s="9" t="s">
        <v>66</v>
      </c>
      <c r="E16" s="9">
        <v>13</v>
      </c>
      <c r="F16" s="9">
        <v>84</v>
      </c>
      <c r="G16" s="9">
        <v>1</v>
      </c>
      <c r="H16" s="9">
        <f t="shared" si="0"/>
        <v>14.4</v>
      </c>
    </row>
    <row r="17" spans="1:8" ht="14.25" customHeight="1" x14ac:dyDescent="0.35">
      <c r="A17" s="10" t="s">
        <v>67</v>
      </c>
      <c r="B17" s="10" t="s">
        <v>68</v>
      </c>
      <c r="C17" s="10" t="s">
        <v>69</v>
      </c>
      <c r="D17" s="10" t="s">
        <v>70</v>
      </c>
      <c r="E17" s="10">
        <v>15</v>
      </c>
      <c r="F17" s="10">
        <v>78</v>
      </c>
      <c r="G17" s="10">
        <v>2</v>
      </c>
      <c r="H17" s="9">
        <f t="shared" si="0"/>
        <v>19.8</v>
      </c>
    </row>
    <row r="18" spans="1:8" ht="14.25" customHeight="1" x14ac:dyDescent="0.35">
      <c r="A18" s="9" t="s">
        <v>71</v>
      </c>
      <c r="B18" s="9" t="s">
        <v>72</v>
      </c>
      <c r="C18" s="9" t="s">
        <v>73</v>
      </c>
      <c r="D18" s="9" t="s">
        <v>74</v>
      </c>
      <c r="E18" s="9">
        <v>23</v>
      </c>
      <c r="F18" s="9">
        <v>70</v>
      </c>
      <c r="G18" s="9">
        <v>0</v>
      </c>
      <c r="H18" s="9">
        <f t="shared" si="0"/>
        <v>7</v>
      </c>
    </row>
    <row r="19" spans="1:8" ht="14.25" customHeight="1" x14ac:dyDescent="0.35">
      <c r="A19" s="10" t="s">
        <v>75</v>
      </c>
      <c r="B19" s="10" t="s">
        <v>76</v>
      </c>
      <c r="C19" s="10" t="s">
        <v>77</v>
      </c>
      <c r="D19" s="10" t="s">
        <v>78</v>
      </c>
      <c r="E19" s="10">
        <v>13</v>
      </c>
      <c r="F19" s="10">
        <v>92</v>
      </c>
      <c r="G19" s="10">
        <v>0</v>
      </c>
      <c r="H19" s="9">
        <f t="shared" si="0"/>
        <v>9.2000000000000011</v>
      </c>
    </row>
    <row r="20" spans="1:8" ht="14.25" customHeight="1" x14ac:dyDescent="0.35">
      <c r="A20" s="9" t="s">
        <v>79</v>
      </c>
      <c r="B20" s="9" t="s">
        <v>80</v>
      </c>
      <c r="C20" s="9" t="s">
        <v>81</v>
      </c>
      <c r="D20" s="9" t="s">
        <v>82</v>
      </c>
      <c r="E20" s="9">
        <v>12</v>
      </c>
      <c r="F20" s="9">
        <v>60</v>
      </c>
      <c r="G20" s="9">
        <v>0</v>
      </c>
      <c r="H20" s="9">
        <f t="shared" si="0"/>
        <v>6</v>
      </c>
    </row>
    <row r="21" spans="1:8" ht="6" customHeight="1" x14ac:dyDescent="0.35">
      <c r="H21" s="9">
        <f t="shared" si="0"/>
        <v>0</v>
      </c>
    </row>
    <row r="22" spans="1:8" ht="14.25" customHeight="1" x14ac:dyDescent="0.35">
      <c r="A22" s="11" t="s">
        <v>83</v>
      </c>
      <c r="B22" s="11" t="s">
        <v>84</v>
      </c>
      <c r="C22" s="11" t="s">
        <v>61</v>
      </c>
      <c r="D22" s="11" t="s">
        <v>85</v>
      </c>
      <c r="E22" s="11">
        <v>13</v>
      </c>
      <c r="F22" s="11">
        <v>57</v>
      </c>
      <c r="G22" s="11">
        <v>0</v>
      </c>
      <c r="H22" s="9">
        <f t="shared" si="0"/>
        <v>5.7</v>
      </c>
    </row>
    <row r="23" spans="1:8" ht="14.25" customHeight="1" x14ac:dyDescent="0.35">
      <c r="A23" s="12" t="s">
        <v>86</v>
      </c>
      <c r="B23" s="12" t="s">
        <v>87</v>
      </c>
      <c r="C23" s="12" t="s">
        <v>88</v>
      </c>
      <c r="D23" s="12" t="s">
        <v>89</v>
      </c>
      <c r="E23" s="12">
        <v>21</v>
      </c>
      <c r="F23" s="12">
        <v>87</v>
      </c>
      <c r="G23" s="12">
        <v>2</v>
      </c>
      <c r="H23" s="9">
        <f t="shared" si="0"/>
        <v>20.700000000000003</v>
      </c>
    </row>
    <row r="24" spans="1:8" ht="14.25" customHeight="1" x14ac:dyDescent="0.35">
      <c r="A24" s="11" t="s">
        <v>90</v>
      </c>
      <c r="B24" s="11" t="s">
        <v>91</v>
      </c>
      <c r="C24" s="11" t="s">
        <v>73</v>
      </c>
      <c r="D24" s="11" t="s">
        <v>92</v>
      </c>
      <c r="E24" s="11">
        <v>10</v>
      </c>
      <c r="F24" s="11">
        <v>39</v>
      </c>
      <c r="G24" s="11">
        <v>0</v>
      </c>
      <c r="H24" s="9">
        <f t="shared" si="0"/>
        <v>3.9000000000000004</v>
      </c>
    </row>
    <row r="25" spans="1:8" ht="57" customHeight="1" x14ac:dyDescent="0.35">
      <c r="A25" s="13" t="s">
        <v>93</v>
      </c>
      <c r="B25" s="13"/>
      <c r="C25" s="13"/>
      <c r="D25" s="13"/>
      <c r="E25" s="13">
        <f>SUM(E4:E20)</f>
        <v>259</v>
      </c>
      <c r="F25" s="13">
        <f>SUM(F4:F20)</f>
        <v>1252</v>
      </c>
      <c r="G25" s="13">
        <f>SUM(G4:G20)</f>
        <v>10</v>
      </c>
      <c r="H25" s="13">
        <f>SUM(H4:H20)</f>
        <v>185.2</v>
      </c>
    </row>
    <row r="27" spans="1:8" ht="45.75" customHeight="1" x14ac:dyDescent="0.35">
      <c r="A27" s="14" t="s">
        <v>94</v>
      </c>
      <c r="B27" s="14"/>
      <c r="C27" s="14"/>
      <c r="D27" s="14"/>
      <c r="E27" s="14">
        <f>SUM(E22:E24)</f>
        <v>44</v>
      </c>
      <c r="F27" s="14">
        <f>SUM(F22:F24)</f>
        <v>183</v>
      </c>
      <c r="G27" s="14">
        <f>SUM(G22:G24)</f>
        <v>2</v>
      </c>
      <c r="H27" s="14">
        <f>SUM(H22:H24)</f>
        <v>30.300000000000004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zoomScaleNormal="100" workbookViewId="0">
      <selection activeCell="J25" sqref="J25"/>
    </sheetView>
  </sheetViews>
  <sheetFormatPr defaultColWidth="8.6328125" defaultRowHeight="14.5" x14ac:dyDescent="0.35"/>
  <cols>
    <col min="1" max="1" width="6" customWidth="1"/>
    <col min="2" max="3" width="8" customWidth="1"/>
    <col min="4" max="4" width="16" customWidth="1"/>
    <col min="5" max="7" width="9" customWidth="1"/>
  </cols>
  <sheetData>
    <row r="1" spans="1:8" ht="24" customHeight="1" x14ac:dyDescent="0.35">
      <c r="A1" s="3" t="s">
        <v>98</v>
      </c>
      <c r="B1" s="3"/>
      <c r="C1" s="3"/>
      <c r="D1" s="3"/>
      <c r="E1" s="3"/>
      <c r="F1" s="3"/>
      <c r="G1" s="3"/>
      <c r="H1" s="3"/>
    </row>
    <row r="2" spans="1:8" ht="14.25" customHeight="1" x14ac:dyDescent="0.35">
      <c r="A2" s="1" t="s">
        <v>96</v>
      </c>
      <c r="B2" s="1"/>
      <c r="C2" s="1"/>
      <c r="D2" s="1"/>
      <c r="E2" s="1"/>
      <c r="F2" s="1"/>
      <c r="G2" s="1"/>
      <c r="H2" s="1"/>
    </row>
    <row r="3" spans="1:8" ht="25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97</v>
      </c>
      <c r="F3" s="7" t="s">
        <v>11</v>
      </c>
      <c r="G3" s="7" t="s">
        <v>12</v>
      </c>
      <c r="H3" s="8" t="s">
        <v>14</v>
      </c>
    </row>
    <row r="4" spans="1:8" ht="14.25" customHeight="1" x14ac:dyDescent="0.35">
      <c r="A4" s="9" t="s">
        <v>15</v>
      </c>
      <c r="B4" s="9" t="s">
        <v>16</v>
      </c>
      <c r="C4" s="9" t="s">
        <v>17</v>
      </c>
      <c r="D4" s="9" t="s">
        <v>18</v>
      </c>
      <c r="E4" s="9">
        <v>1</v>
      </c>
      <c r="F4" s="9">
        <v>2</v>
      </c>
      <c r="G4" s="9">
        <v>0</v>
      </c>
      <c r="H4" s="9">
        <f t="shared" ref="H4:H24" si="0">0.1*F4+6*G4</f>
        <v>0.2</v>
      </c>
    </row>
    <row r="5" spans="1:8" ht="14.25" customHeight="1" x14ac:dyDescent="0.35">
      <c r="A5" s="10" t="s">
        <v>19</v>
      </c>
      <c r="B5" s="10" t="s">
        <v>20</v>
      </c>
      <c r="C5" s="10" t="s">
        <v>21</v>
      </c>
      <c r="D5" s="10" t="s">
        <v>22</v>
      </c>
      <c r="E5" s="10">
        <v>5</v>
      </c>
      <c r="F5" s="10">
        <v>44</v>
      </c>
      <c r="G5" s="10">
        <v>1</v>
      </c>
      <c r="H5" s="9">
        <f t="shared" si="0"/>
        <v>10.4</v>
      </c>
    </row>
    <row r="6" spans="1:8" ht="14.25" customHeight="1" x14ac:dyDescent="0.35">
      <c r="A6" s="9" t="s">
        <v>23</v>
      </c>
      <c r="B6" s="9" t="s">
        <v>24</v>
      </c>
      <c r="C6" s="9" t="s">
        <v>25</v>
      </c>
      <c r="D6" s="9" t="s">
        <v>26</v>
      </c>
      <c r="E6" s="9">
        <v>8</v>
      </c>
      <c r="F6" s="9">
        <v>53</v>
      </c>
      <c r="G6" s="9">
        <v>0</v>
      </c>
      <c r="H6" s="9">
        <f t="shared" si="0"/>
        <v>5.3000000000000007</v>
      </c>
    </row>
    <row r="7" spans="1:8" ht="14.25" customHeight="1" x14ac:dyDescent="0.35">
      <c r="A7" s="10" t="s">
        <v>27</v>
      </c>
      <c r="B7" s="10" t="s">
        <v>28</v>
      </c>
      <c r="C7" s="10" t="s">
        <v>29</v>
      </c>
      <c r="D7" s="10" t="s">
        <v>30</v>
      </c>
      <c r="E7" s="10">
        <v>9</v>
      </c>
      <c r="F7" s="10">
        <v>21</v>
      </c>
      <c r="G7" s="10">
        <v>0</v>
      </c>
      <c r="H7" s="9">
        <f t="shared" si="0"/>
        <v>2.1</v>
      </c>
    </row>
    <row r="8" spans="1:8" ht="14.25" customHeight="1" x14ac:dyDescent="0.35">
      <c r="A8" s="9" t="s">
        <v>31</v>
      </c>
      <c r="B8" s="9" t="s">
        <v>32</v>
      </c>
      <c r="C8" s="9" t="s">
        <v>33</v>
      </c>
      <c r="D8" s="9" t="s">
        <v>34</v>
      </c>
      <c r="E8" s="9">
        <v>1</v>
      </c>
      <c r="F8" s="9">
        <v>13</v>
      </c>
      <c r="G8" s="9">
        <v>0</v>
      </c>
      <c r="H8" s="9">
        <f t="shared" si="0"/>
        <v>1.3</v>
      </c>
    </row>
    <row r="9" spans="1:8" ht="14.25" customHeight="1" x14ac:dyDescent="0.35">
      <c r="A9" s="10" t="s">
        <v>35</v>
      </c>
      <c r="B9" s="10" t="s">
        <v>36</v>
      </c>
      <c r="C9" s="10" t="s">
        <v>37</v>
      </c>
      <c r="D9" s="10" t="s">
        <v>38</v>
      </c>
      <c r="E9" s="10">
        <v>5</v>
      </c>
      <c r="F9" s="10">
        <v>23</v>
      </c>
      <c r="G9" s="10">
        <v>0</v>
      </c>
      <c r="H9" s="9">
        <f t="shared" si="0"/>
        <v>2.3000000000000003</v>
      </c>
    </row>
    <row r="10" spans="1:8" ht="14.25" customHeight="1" x14ac:dyDescent="0.35">
      <c r="A10" s="9" t="s">
        <v>39</v>
      </c>
      <c r="B10" s="9" t="s">
        <v>40</v>
      </c>
      <c r="C10" s="9" t="s">
        <v>41</v>
      </c>
      <c r="D10" s="9" t="s">
        <v>42</v>
      </c>
      <c r="E10" s="9">
        <v>12</v>
      </c>
      <c r="F10" s="9">
        <v>37</v>
      </c>
      <c r="G10" s="9">
        <v>0</v>
      </c>
      <c r="H10" s="9">
        <f t="shared" si="0"/>
        <v>3.7</v>
      </c>
    </row>
    <row r="11" spans="1:8" ht="14.25" customHeight="1" x14ac:dyDescent="0.35">
      <c r="A11" s="10" t="s">
        <v>43</v>
      </c>
      <c r="B11" s="10" t="s">
        <v>44</v>
      </c>
      <c r="C11" s="10" t="s">
        <v>45</v>
      </c>
      <c r="D11" s="10" t="s">
        <v>46</v>
      </c>
      <c r="E11" s="10">
        <v>13</v>
      </c>
      <c r="F11" s="10">
        <v>58</v>
      </c>
      <c r="G11" s="10">
        <v>0</v>
      </c>
      <c r="H11" s="9">
        <f t="shared" si="0"/>
        <v>5.8000000000000007</v>
      </c>
    </row>
    <row r="12" spans="1:8" ht="14.25" customHeight="1" x14ac:dyDescent="0.35">
      <c r="A12" s="9" t="s">
        <v>47</v>
      </c>
      <c r="B12" s="9" t="s">
        <v>48</v>
      </c>
      <c r="C12" s="9" t="s">
        <v>49</v>
      </c>
      <c r="D12" s="9" t="s">
        <v>50</v>
      </c>
      <c r="E12" s="9">
        <v>13</v>
      </c>
      <c r="F12" s="9">
        <v>56</v>
      </c>
      <c r="G12" s="9">
        <v>0</v>
      </c>
      <c r="H12" s="9">
        <f t="shared" si="0"/>
        <v>5.6000000000000005</v>
      </c>
    </row>
    <row r="13" spans="1:8" ht="14.25" customHeight="1" x14ac:dyDescent="0.35">
      <c r="A13" s="10" t="s">
        <v>51</v>
      </c>
      <c r="B13" s="10" t="s">
        <v>52</v>
      </c>
      <c r="C13" s="10" t="s">
        <v>53</v>
      </c>
      <c r="D13" s="10" t="s">
        <v>54</v>
      </c>
      <c r="E13" s="10">
        <v>6</v>
      </c>
      <c r="F13" s="10">
        <v>35</v>
      </c>
      <c r="G13" s="10">
        <v>0</v>
      </c>
      <c r="H13" s="9">
        <f t="shared" si="0"/>
        <v>3.5</v>
      </c>
    </row>
    <row r="14" spans="1:8" ht="14.25" customHeight="1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>
        <v>4</v>
      </c>
      <c r="F14" s="9">
        <v>19</v>
      </c>
      <c r="G14" s="9">
        <v>1</v>
      </c>
      <c r="H14" s="9">
        <f t="shared" si="0"/>
        <v>7.9</v>
      </c>
    </row>
    <row r="15" spans="1:8" ht="14.25" customHeight="1" x14ac:dyDescent="0.35">
      <c r="A15" s="10" t="s">
        <v>59</v>
      </c>
      <c r="B15" s="10" t="s">
        <v>60</v>
      </c>
      <c r="C15" s="10" t="s">
        <v>61</v>
      </c>
      <c r="D15" s="10" t="s">
        <v>62</v>
      </c>
      <c r="E15" s="10">
        <v>7</v>
      </c>
      <c r="F15" s="10">
        <v>81</v>
      </c>
      <c r="G15" s="10">
        <v>1</v>
      </c>
      <c r="H15" s="9">
        <f t="shared" si="0"/>
        <v>14.1</v>
      </c>
    </row>
    <row r="16" spans="1:8" ht="14.25" customHeight="1" x14ac:dyDescent="0.35">
      <c r="A16" s="9" t="s">
        <v>63</v>
      </c>
      <c r="B16" s="9" t="s">
        <v>64</v>
      </c>
      <c r="C16" s="9" t="s">
        <v>65</v>
      </c>
      <c r="D16" s="9" t="s">
        <v>66</v>
      </c>
      <c r="E16" s="9">
        <v>5</v>
      </c>
      <c r="F16" s="9">
        <v>18</v>
      </c>
      <c r="G16" s="9">
        <v>0</v>
      </c>
      <c r="H16" s="9">
        <f t="shared" si="0"/>
        <v>1.8</v>
      </c>
    </row>
    <row r="17" spans="1:8" ht="14.25" customHeight="1" x14ac:dyDescent="0.35">
      <c r="A17" s="10" t="s">
        <v>67</v>
      </c>
      <c r="B17" s="10" t="s">
        <v>68</v>
      </c>
      <c r="C17" s="10" t="s">
        <v>69</v>
      </c>
      <c r="D17" s="10" t="s">
        <v>70</v>
      </c>
      <c r="E17" s="10">
        <v>6</v>
      </c>
      <c r="F17" s="10">
        <v>46</v>
      </c>
      <c r="G17" s="10">
        <v>0</v>
      </c>
      <c r="H17" s="9">
        <f t="shared" si="0"/>
        <v>4.6000000000000005</v>
      </c>
    </row>
    <row r="18" spans="1:8" ht="14.25" customHeight="1" x14ac:dyDescent="0.35">
      <c r="A18" s="9" t="s">
        <v>71</v>
      </c>
      <c r="B18" s="9" t="s">
        <v>72</v>
      </c>
      <c r="C18" s="9" t="s">
        <v>73</v>
      </c>
      <c r="D18" s="9" t="s">
        <v>74</v>
      </c>
      <c r="E18" s="9">
        <v>6</v>
      </c>
      <c r="F18" s="9">
        <v>35</v>
      </c>
      <c r="G18" s="9">
        <v>0</v>
      </c>
      <c r="H18" s="9">
        <f t="shared" si="0"/>
        <v>3.5</v>
      </c>
    </row>
    <row r="19" spans="1:8" ht="14.25" customHeight="1" x14ac:dyDescent="0.35">
      <c r="A19" s="10" t="s">
        <v>75</v>
      </c>
      <c r="B19" s="10" t="s">
        <v>76</v>
      </c>
      <c r="C19" s="10" t="s">
        <v>77</v>
      </c>
      <c r="D19" s="10" t="s">
        <v>78</v>
      </c>
      <c r="E19" s="10">
        <v>6</v>
      </c>
      <c r="F19" s="10">
        <v>42</v>
      </c>
      <c r="G19" s="10">
        <v>1</v>
      </c>
      <c r="H19" s="9">
        <f t="shared" si="0"/>
        <v>10.199999999999999</v>
      </c>
    </row>
    <row r="20" spans="1:8" ht="14.25" customHeight="1" x14ac:dyDescent="0.35">
      <c r="A20" s="9" t="s">
        <v>79</v>
      </c>
      <c r="B20" s="9" t="s">
        <v>80</v>
      </c>
      <c r="C20" s="9" t="s">
        <v>81</v>
      </c>
      <c r="D20" s="9" t="s">
        <v>82</v>
      </c>
      <c r="E20" s="9">
        <v>8</v>
      </c>
      <c r="F20" s="9">
        <v>59</v>
      </c>
      <c r="G20" s="9">
        <v>1</v>
      </c>
      <c r="H20" s="9">
        <f t="shared" si="0"/>
        <v>11.9</v>
      </c>
    </row>
    <row r="21" spans="1:8" ht="6" customHeight="1" x14ac:dyDescent="0.35">
      <c r="H21" s="9">
        <f t="shared" si="0"/>
        <v>0</v>
      </c>
    </row>
    <row r="22" spans="1:8" ht="14.25" customHeight="1" x14ac:dyDescent="0.35">
      <c r="A22" s="11" t="s">
        <v>83</v>
      </c>
      <c r="B22" s="11" t="s">
        <v>84</v>
      </c>
      <c r="C22" s="11" t="s">
        <v>61</v>
      </c>
      <c r="D22" s="11" t="s">
        <v>85</v>
      </c>
      <c r="E22" s="11">
        <v>11</v>
      </c>
      <c r="F22" s="11">
        <v>45</v>
      </c>
      <c r="G22" s="11">
        <v>0</v>
      </c>
      <c r="H22" s="9">
        <f t="shared" si="0"/>
        <v>4.5</v>
      </c>
    </row>
    <row r="23" spans="1:8" ht="14.25" customHeight="1" x14ac:dyDescent="0.35">
      <c r="A23" s="12" t="s">
        <v>86</v>
      </c>
      <c r="B23" s="12" t="s">
        <v>87</v>
      </c>
      <c r="C23" s="12" t="s">
        <v>88</v>
      </c>
      <c r="D23" s="12" t="s">
        <v>89</v>
      </c>
      <c r="E23" s="12">
        <v>6</v>
      </c>
      <c r="F23" s="12">
        <v>19</v>
      </c>
      <c r="G23" s="12">
        <v>0</v>
      </c>
      <c r="H23" s="9">
        <f t="shared" si="0"/>
        <v>1.9000000000000001</v>
      </c>
    </row>
    <row r="24" spans="1:8" ht="14.25" customHeight="1" x14ac:dyDescent="0.35">
      <c r="A24" s="11" t="s">
        <v>90</v>
      </c>
      <c r="B24" s="11" t="s">
        <v>91</v>
      </c>
      <c r="C24" s="11" t="s">
        <v>73</v>
      </c>
      <c r="D24" s="11" t="s">
        <v>92</v>
      </c>
      <c r="E24" s="11">
        <v>9</v>
      </c>
      <c r="F24" s="11">
        <v>55</v>
      </c>
      <c r="G24" s="11">
        <v>0</v>
      </c>
      <c r="H24" s="9">
        <f t="shared" si="0"/>
        <v>5.5</v>
      </c>
    </row>
    <row r="25" spans="1:8" ht="57" customHeight="1" x14ac:dyDescent="0.35">
      <c r="A25" s="13" t="s">
        <v>93</v>
      </c>
      <c r="B25" s="13"/>
      <c r="C25" s="13"/>
      <c r="D25" s="13"/>
      <c r="E25" s="15">
        <f>SUM(E4:E20)</f>
        <v>115</v>
      </c>
      <c r="F25" s="15">
        <f>SUM(F4:F20)</f>
        <v>642</v>
      </c>
      <c r="G25" s="15">
        <f>SUM(G4:G20)</f>
        <v>5</v>
      </c>
      <c r="H25" s="15">
        <f>SUM(H4:H20)</f>
        <v>94.2</v>
      </c>
    </row>
    <row r="27" spans="1:8" ht="45.75" customHeight="1" x14ac:dyDescent="0.35">
      <c r="A27" s="14" t="s">
        <v>94</v>
      </c>
      <c r="B27" s="14"/>
      <c r="C27" s="14"/>
      <c r="D27" s="14"/>
      <c r="E27" s="14">
        <f>SUM(E22:E24)</f>
        <v>26</v>
      </c>
      <c r="F27" s="14">
        <f>SUM(F22:F24)</f>
        <v>119</v>
      </c>
      <c r="G27" s="14">
        <f>SUM(G22:G24)</f>
        <v>0</v>
      </c>
      <c r="H27" s="14">
        <f>SUM(H22:H24)</f>
        <v>11.9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topLeftCell="E12" zoomScaleNormal="100" workbookViewId="0">
      <selection activeCell="L25" sqref="L25"/>
    </sheetView>
  </sheetViews>
  <sheetFormatPr defaultColWidth="8.6328125" defaultRowHeight="14.5" x14ac:dyDescent="0.35"/>
  <cols>
    <col min="1" max="1" width="6" customWidth="1"/>
    <col min="2" max="3" width="8" customWidth="1"/>
    <col min="4" max="4" width="16" customWidth="1"/>
    <col min="5" max="5" width="8" customWidth="1"/>
    <col min="6" max="6" width="11" customWidth="1"/>
    <col min="7" max="7" width="9" customWidth="1"/>
    <col min="8" max="8" width="13" customWidth="1"/>
  </cols>
  <sheetData>
    <row r="1" spans="1:9" ht="24" customHeight="1" x14ac:dyDescent="0.35">
      <c r="A1" s="3" t="s">
        <v>99</v>
      </c>
      <c r="B1" s="3"/>
      <c r="C1" s="3"/>
      <c r="D1" s="3"/>
      <c r="E1" s="3"/>
      <c r="F1" s="3"/>
      <c r="G1" s="3"/>
      <c r="H1" s="3"/>
      <c r="I1" s="3"/>
    </row>
    <row r="2" spans="1:9" ht="27.75" customHeight="1" x14ac:dyDescent="0.35">
      <c r="A2" s="1" t="s">
        <v>100</v>
      </c>
      <c r="B2" s="1"/>
      <c r="C2" s="1"/>
      <c r="D2" s="1"/>
      <c r="E2" s="1"/>
      <c r="F2" s="1"/>
      <c r="G2" s="1"/>
      <c r="H2" s="1"/>
      <c r="I2" s="1"/>
    </row>
    <row r="3" spans="1:9" ht="25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8" t="s">
        <v>101</v>
      </c>
      <c r="F3" s="7" t="s">
        <v>102</v>
      </c>
      <c r="G3" s="7" t="s">
        <v>103</v>
      </c>
      <c r="H3" s="7" t="s">
        <v>13</v>
      </c>
      <c r="I3" s="8" t="s">
        <v>14</v>
      </c>
    </row>
    <row r="4" spans="1:9" ht="14.25" customHeight="1" x14ac:dyDescent="0.35">
      <c r="A4" s="9" t="s">
        <v>15</v>
      </c>
      <c r="B4" s="9" t="s">
        <v>16</v>
      </c>
      <c r="C4" s="9" t="s">
        <v>17</v>
      </c>
      <c r="D4" s="9" t="s">
        <v>18</v>
      </c>
      <c r="E4" s="9" t="s">
        <v>104</v>
      </c>
      <c r="F4" s="9">
        <v>10</v>
      </c>
      <c r="G4" s="9">
        <v>130</v>
      </c>
      <c r="H4" s="9">
        <v>0</v>
      </c>
      <c r="I4" s="9">
        <f t="shared" ref="I4:I20" si="0">F4+0.1*G4+IFERROR(E4*6,0)-2*H4</f>
        <v>23</v>
      </c>
    </row>
    <row r="5" spans="1:9" ht="14.25" customHeight="1" x14ac:dyDescent="0.35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104</v>
      </c>
      <c r="F5" s="10">
        <v>8</v>
      </c>
      <c r="G5" s="10">
        <v>91</v>
      </c>
      <c r="H5" s="10">
        <v>0</v>
      </c>
      <c r="I5" s="9">
        <f t="shared" si="0"/>
        <v>17.100000000000001</v>
      </c>
    </row>
    <row r="6" spans="1:9" ht="14.25" customHeight="1" x14ac:dyDescent="0.35">
      <c r="A6" s="9" t="s">
        <v>23</v>
      </c>
      <c r="B6" s="9" t="s">
        <v>24</v>
      </c>
      <c r="C6" s="9" t="s">
        <v>25</v>
      </c>
      <c r="D6" s="9" t="s">
        <v>26</v>
      </c>
      <c r="E6" s="9" t="s">
        <v>104</v>
      </c>
      <c r="F6" s="9">
        <v>11</v>
      </c>
      <c r="G6" s="9">
        <v>112</v>
      </c>
      <c r="H6" s="9">
        <v>0</v>
      </c>
      <c r="I6" s="9">
        <f t="shared" si="0"/>
        <v>22.200000000000003</v>
      </c>
    </row>
    <row r="7" spans="1:9" ht="14.25" customHeight="1" x14ac:dyDescent="0.35">
      <c r="A7" s="10" t="s">
        <v>27</v>
      </c>
      <c r="B7" s="10" t="s">
        <v>28</v>
      </c>
      <c r="C7" s="10" t="s">
        <v>29</v>
      </c>
      <c r="D7" s="10" t="s">
        <v>30</v>
      </c>
      <c r="E7" s="10">
        <v>15</v>
      </c>
      <c r="F7" s="10">
        <v>13</v>
      </c>
      <c r="G7" s="10">
        <v>170</v>
      </c>
      <c r="H7" s="10">
        <v>0</v>
      </c>
      <c r="I7" s="9">
        <f t="shared" si="0"/>
        <v>120</v>
      </c>
    </row>
    <row r="8" spans="1:9" ht="14.25" customHeight="1" x14ac:dyDescent="0.35">
      <c r="A8" s="9" t="s">
        <v>31</v>
      </c>
      <c r="B8" s="9" t="s">
        <v>32</v>
      </c>
      <c r="C8" s="9" t="s">
        <v>33</v>
      </c>
      <c r="D8" s="9" t="s">
        <v>34</v>
      </c>
      <c r="E8" s="9" t="s">
        <v>104</v>
      </c>
      <c r="F8" s="9">
        <v>10</v>
      </c>
      <c r="G8" s="9">
        <v>85</v>
      </c>
      <c r="H8" s="9">
        <v>0</v>
      </c>
      <c r="I8" s="9">
        <f t="shared" si="0"/>
        <v>18.5</v>
      </c>
    </row>
    <row r="9" spans="1:9" ht="14.25" customHeight="1" x14ac:dyDescent="0.35">
      <c r="A9" s="10" t="s">
        <v>35</v>
      </c>
      <c r="B9" s="10" t="s">
        <v>36</v>
      </c>
      <c r="C9" s="10" t="s">
        <v>37</v>
      </c>
      <c r="D9" s="10" t="s">
        <v>38</v>
      </c>
      <c r="E9" s="10" t="s">
        <v>104</v>
      </c>
      <c r="F9" s="10">
        <v>2</v>
      </c>
      <c r="G9" s="10">
        <v>28</v>
      </c>
      <c r="H9" s="10">
        <v>0</v>
      </c>
      <c r="I9" s="9">
        <f t="shared" si="0"/>
        <v>4.8000000000000007</v>
      </c>
    </row>
    <row r="10" spans="1:9" ht="14.25" customHeight="1" x14ac:dyDescent="0.35">
      <c r="A10" s="9" t="s">
        <v>39</v>
      </c>
      <c r="B10" s="9" t="s">
        <v>40</v>
      </c>
      <c r="C10" s="9" t="s">
        <v>41</v>
      </c>
      <c r="D10" s="9" t="s">
        <v>42</v>
      </c>
      <c r="E10" s="9">
        <v>0</v>
      </c>
      <c r="F10" s="9">
        <v>0</v>
      </c>
      <c r="G10" s="9">
        <v>0</v>
      </c>
      <c r="H10" s="9">
        <v>0</v>
      </c>
      <c r="I10" s="9">
        <f t="shared" si="0"/>
        <v>0</v>
      </c>
    </row>
    <row r="11" spans="1:9" ht="14.25" customHeight="1" x14ac:dyDescent="0.35">
      <c r="A11" s="10" t="s">
        <v>43</v>
      </c>
      <c r="B11" s="10" t="s">
        <v>44</v>
      </c>
      <c r="C11" s="10" t="s">
        <v>45</v>
      </c>
      <c r="D11" s="10" t="s">
        <v>46</v>
      </c>
      <c r="E11" s="10" t="s">
        <v>104</v>
      </c>
      <c r="F11" s="10">
        <v>7</v>
      </c>
      <c r="G11" s="10">
        <v>95</v>
      </c>
      <c r="H11" s="10">
        <v>0</v>
      </c>
      <c r="I11" s="9">
        <f t="shared" si="0"/>
        <v>16.5</v>
      </c>
    </row>
    <row r="12" spans="1:9" ht="14.25" customHeight="1" x14ac:dyDescent="0.35">
      <c r="A12" s="9" t="s">
        <v>47</v>
      </c>
      <c r="B12" s="9" t="s">
        <v>48</v>
      </c>
      <c r="C12" s="9" t="s">
        <v>49</v>
      </c>
      <c r="D12" s="9" t="s">
        <v>50</v>
      </c>
      <c r="E12" s="9" t="s">
        <v>104</v>
      </c>
      <c r="F12" s="9">
        <v>5</v>
      </c>
      <c r="G12" s="9">
        <v>64</v>
      </c>
      <c r="H12" s="9">
        <v>0</v>
      </c>
      <c r="I12" s="9">
        <f t="shared" si="0"/>
        <v>11.4</v>
      </c>
    </row>
    <row r="13" spans="1:9" ht="14.25" customHeight="1" x14ac:dyDescent="0.35">
      <c r="A13" s="10" t="s">
        <v>51</v>
      </c>
      <c r="B13" s="10" t="s">
        <v>52</v>
      </c>
      <c r="C13" s="10" t="s">
        <v>53</v>
      </c>
      <c r="D13" s="10" t="s">
        <v>54</v>
      </c>
      <c r="E13" s="10" t="s">
        <v>104</v>
      </c>
      <c r="F13" s="10">
        <v>7</v>
      </c>
      <c r="G13" s="10">
        <v>75</v>
      </c>
      <c r="H13" s="10">
        <v>1</v>
      </c>
      <c r="I13" s="9">
        <f t="shared" si="0"/>
        <v>12.5</v>
      </c>
    </row>
    <row r="14" spans="1:9" ht="14.25" customHeight="1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 t="s">
        <v>104</v>
      </c>
      <c r="F14" s="9">
        <v>7</v>
      </c>
      <c r="G14" s="9">
        <v>97</v>
      </c>
      <c r="H14" s="9">
        <v>0</v>
      </c>
      <c r="I14" s="9">
        <f t="shared" si="0"/>
        <v>16.700000000000003</v>
      </c>
    </row>
    <row r="15" spans="1:9" ht="14.25" customHeight="1" x14ac:dyDescent="0.35">
      <c r="A15" s="10" t="s">
        <v>59</v>
      </c>
      <c r="B15" s="10" t="s">
        <v>60</v>
      </c>
      <c r="C15" s="10" t="s">
        <v>61</v>
      </c>
      <c r="D15" s="10" t="s">
        <v>62</v>
      </c>
      <c r="E15" s="10" t="s">
        <v>104</v>
      </c>
      <c r="F15" s="10">
        <v>6</v>
      </c>
      <c r="G15" s="10">
        <v>72</v>
      </c>
      <c r="H15" s="10">
        <v>0</v>
      </c>
      <c r="I15" s="9">
        <f t="shared" si="0"/>
        <v>13.2</v>
      </c>
    </row>
    <row r="16" spans="1:9" ht="14.25" customHeight="1" x14ac:dyDescent="0.35">
      <c r="A16" s="9" t="s">
        <v>63</v>
      </c>
      <c r="B16" s="9" t="s">
        <v>64</v>
      </c>
      <c r="C16" s="9" t="s">
        <v>65</v>
      </c>
      <c r="D16" s="9" t="s">
        <v>66</v>
      </c>
      <c r="E16" s="9" t="s">
        <v>104</v>
      </c>
      <c r="F16" s="9">
        <v>7</v>
      </c>
      <c r="G16" s="9">
        <v>167</v>
      </c>
      <c r="H16" s="9">
        <v>0</v>
      </c>
      <c r="I16" s="9">
        <f t="shared" si="0"/>
        <v>23.7</v>
      </c>
    </row>
    <row r="17" spans="1:9" ht="14.25" customHeight="1" x14ac:dyDescent="0.35">
      <c r="A17" s="10" t="s">
        <v>67</v>
      </c>
      <c r="B17" s="10" t="s">
        <v>68</v>
      </c>
      <c r="C17" s="10" t="s">
        <v>69</v>
      </c>
      <c r="D17" s="10" t="s">
        <v>70</v>
      </c>
      <c r="E17" s="10" t="s">
        <v>104</v>
      </c>
      <c r="F17" s="10">
        <v>9</v>
      </c>
      <c r="G17" s="10">
        <v>181</v>
      </c>
      <c r="H17" s="10">
        <v>0</v>
      </c>
      <c r="I17" s="9">
        <f t="shared" si="0"/>
        <v>27.1</v>
      </c>
    </row>
    <row r="18" spans="1:9" ht="14.25" customHeight="1" x14ac:dyDescent="0.35">
      <c r="A18" s="9" t="s">
        <v>71</v>
      </c>
      <c r="B18" s="9" t="s">
        <v>72</v>
      </c>
      <c r="C18" s="9" t="s">
        <v>73</v>
      </c>
      <c r="D18" s="9" t="s">
        <v>74</v>
      </c>
      <c r="E18" s="9" t="s">
        <v>104</v>
      </c>
      <c r="F18" s="9">
        <v>12</v>
      </c>
      <c r="G18" s="9">
        <v>225</v>
      </c>
      <c r="H18" s="9">
        <v>0</v>
      </c>
      <c r="I18" s="9">
        <f t="shared" si="0"/>
        <v>34.5</v>
      </c>
    </row>
    <row r="19" spans="1:9" ht="14.25" customHeight="1" x14ac:dyDescent="0.35">
      <c r="A19" s="10" t="s">
        <v>75</v>
      </c>
      <c r="B19" s="10" t="s">
        <v>76</v>
      </c>
      <c r="C19" s="10" t="s">
        <v>77</v>
      </c>
      <c r="D19" s="10" t="s">
        <v>78</v>
      </c>
      <c r="E19" s="10" t="s">
        <v>104</v>
      </c>
      <c r="F19" s="10">
        <v>5</v>
      </c>
      <c r="G19" s="10">
        <v>47</v>
      </c>
      <c r="H19" s="10">
        <v>0</v>
      </c>
      <c r="I19" s="9">
        <f t="shared" si="0"/>
        <v>9.6999999999999993</v>
      </c>
    </row>
    <row r="20" spans="1:9" ht="14.25" customHeight="1" x14ac:dyDescent="0.35">
      <c r="A20" s="9" t="s">
        <v>79</v>
      </c>
      <c r="B20" s="9" t="s">
        <v>80</v>
      </c>
      <c r="C20" s="9" t="s">
        <v>81</v>
      </c>
      <c r="D20" s="9" t="s">
        <v>82</v>
      </c>
      <c r="E20" s="9">
        <v>11</v>
      </c>
      <c r="F20" s="9">
        <v>10</v>
      </c>
      <c r="G20" s="9">
        <v>76</v>
      </c>
      <c r="H20" s="9">
        <v>0</v>
      </c>
      <c r="I20" s="9">
        <f t="shared" si="0"/>
        <v>83.6</v>
      </c>
    </row>
    <row r="21" spans="1:9" ht="6" customHeight="1" x14ac:dyDescent="0.35">
      <c r="I21" s="9">
        <f>F21+0.1*G21</f>
        <v>0</v>
      </c>
    </row>
    <row r="22" spans="1:9" ht="14.25" customHeight="1" x14ac:dyDescent="0.35">
      <c r="A22" s="11" t="s">
        <v>83</v>
      </c>
      <c r="B22" s="11" t="s">
        <v>84</v>
      </c>
      <c r="C22" s="11" t="s">
        <v>61</v>
      </c>
      <c r="D22" s="11" t="s">
        <v>85</v>
      </c>
      <c r="E22" s="11" t="s">
        <v>104</v>
      </c>
      <c r="F22" s="11">
        <v>10</v>
      </c>
      <c r="G22" s="11">
        <v>111</v>
      </c>
      <c r="H22" s="11">
        <v>0</v>
      </c>
      <c r="I22" s="9">
        <f>F22+0.1*G22+IFERROR(E22*6,0)-2*H22</f>
        <v>21.1</v>
      </c>
    </row>
    <row r="23" spans="1:9" ht="14.25" customHeight="1" x14ac:dyDescent="0.35">
      <c r="A23" s="12" t="s">
        <v>86</v>
      </c>
      <c r="B23" s="12" t="s">
        <v>87</v>
      </c>
      <c r="C23" s="12" t="s">
        <v>88</v>
      </c>
      <c r="D23" s="12" t="s">
        <v>89</v>
      </c>
      <c r="E23" s="12" t="s">
        <v>104</v>
      </c>
      <c r="F23" s="12">
        <v>5</v>
      </c>
      <c r="G23" s="12">
        <v>56</v>
      </c>
      <c r="H23" s="12">
        <v>0</v>
      </c>
      <c r="I23" s="9">
        <f>F23+0.1*G23+IFERROR(E23*6,0)-2*H23</f>
        <v>10.600000000000001</v>
      </c>
    </row>
    <row r="24" spans="1:9" ht="14.25" customHeight="1" x14ac:dyDescent="0.35">
      <c r="A24" s="11" t="s">
        <v>90</v>
      </c>
      <c r="B24" s="11" t="s">
        <v>91</v>
      </c>
      <c r="C24" s="11" t="s">
        <v>73</v>
      </c>
      <c r="D24" s="11" t="s">
        <v>92</v>
      </c>
      <c r="E24" s="11" t="s">
        <v>104</v>
      </c>
      <c r="F24" s="11">
        <v>9</v>
      </c>
      <c r="G24" s="11">
        <v>165</v>
      </c>
      <c r="H24" s="11">
        <v>0</v>
      </c>
      <c r="I24" s="9">
        <f>F24+0.1*G24+IFERROR(E24*6,0)-2*H24</f>
        <v>25.5</v>
      </c>
    </row>
    <row r="25" spans="1:9" ht="57" customHeight="1" x14ac:dyDescent="0.35">
      <c r="A25" s="13" t="s">
        <v>93</v>
      </c>
      <c r="B25" s="13"/>
      <c r="C25" s="13"/>
      <c r="D25" s="13"/>
      <c r="E25" s="13" t="s">
        <v>105</v>
      </c>
      <c r="F25" s="13">
        <f>SUM(F4:F20)</f>
        <v>129</v>
      </c>
      <c r="G25" s="13">
        <f>SUM(G4:G20)</f>
        <v>1715</v>
      </c>
      <c r="H25" s="13">
        <f>SUM(H4:H20)</f>
        <v>1</v>
      </c>
      <c r="I25" s="13">
        <f>SUM(I4:I20)</f>
        <v>454.5</v>
      </c>
    </row>
    <row r="27" spans="1:9" ht="45.75" customHeight="1" x14ac:dyDescent="0.35">
      <c r="A27" s="14" t="s">
        <v>94</v>
      </c>
      <c r="B27" s="14"/>
      <c r="C27" s="14"/>
      <c r="D27" s="14"/>
      <c r="E27" s="14" t="s">
        <v>105</v>
      </c>
      <c r="F27" s="16">
        <f>SUM(F22:F24)</f>
        <v>24</v>
      </c>
      <c r="G27" s="16">
        <f>SUM(G22:G24)</f>
        <v>332</v>
      </c>
      <c r="H27" s="16">
        <f>SUM(H22:H24)</f>
        <v>0</v>
      </c>
      <c r="I27" s="16">
        <f>SUM(I22:I24)</f>
        <v>57.2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topLeftCell="A14" zoomScaleNormal="100" workbookViewId="0">
      <selection activeCell="J26" sqref="J26"/>
    </sheetView>
  </sheetViews>
  <sheetFormatPr defaultColWidth="8.6328125" defaultRowHeight="14.5" x14ac:dyDescent="0.35"/>
  <cols>
    <col min="1" max="1" width="6" customWidth="1"/>
    <col min="2" max="3" width="8" customWidth="1"/>
    <col min="4" max="4" width="16" customWidth="1"/>
    <col min="5" max="5" width="8" customWidth="1"/>
    <col min="6" max="6" width="11" customWidth="1"/>
    <col min="7" max="7" width="9" customWidth="1"/>
    <col min="8" max="8" width="13" customWidth="1"/>
  </cols>
  <sheetData>
    <row r="1" spans="1:9" ht="24" customHeight="1" x14ac:dyDescent="0.35">
      <c r="A1" s="3" t="s">
        <v>106</v>
      </c>
      <c r="B1" s="3"/>
      <c r="C1" s="3"/>
      <c r="D1" s="3"/>
      <c r="E1" s="3"/>
      <c r="F1" s="3"/>
      <c r="G1" s="3"/>
      <c r="H1" s="3"/>
      <c r="I1" s="3"/>
    </row>
    <row r="2" spans="1:9" ht="27.75" customHeight="1" x14ac:dyDescent="0.35">
      <c r="A2" s="1" t="s">
        <v>100</v>
      </c>
      <c r="B2" s="1"/>
      <c r="C2" s="1"/>
      <c r="D2" s="1"/>
      <c r="E2" s="1"/>
      <c r="F2" s="1"/>
      <c r="G2" s="1"/>
      <c r="H2" s="1"/>
      <c r="I2" s="1"/>
    </row>
    <row r="3" spans="1:9" ht="25.5" customHeigh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107</v>
      </c>
      <c r="F3" s="7" t="s">
        <v>102</v>
      </c>
      <c r="G3" s="7" t="s">
        <v>103</v>
      </c>
      <c r="H3" s="8" t="s">
        <v>13</v>
      </c>
      <c r="I3" s="8" t="s">
        <v>14</v>
      </c>
    </row>
    <row r="4" spans="1:9" ht="14.25" customHeight="1" x14ac:dyDescent="0.35">
      <c r="A4" s="9" t="s">
        <v>15</v>
      </c>
      <c r="B4" s="9" t="s">
        <v>16</v>
      </c>
      <c r="C4" s="9" t="s">
        <v>17</v>
      </c>
      <c r="D4" s="9" t="s">
        <v>18</v>
      </c>
      <c r="E4" s="9" t="s">
        <v>104</v>
      </c>
      <c r="F4" s="9">
        <v>4</v>
      </c>
      <c r="G4" s="9">
        <v>51</v>
      </c>
      <c r="H4" s="9">
        <v>0</v>
      </c>
      <c r="I4" s="9">
        <f t="shared" ref="I4:I20" si="0">F4+0.1*G4+IFERROR(E4*6,0)-2*H4</f>
        <v>9.1000000000000014</v>
      </c>
    </row>
    <row r="5" spans="1:9" ht="14.25" customHeight="1" x14ac:dyDescent="0.35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104</v>
      </c>
      <c r="F5" s="10">
        <v>6</v>
      </c>
      <c r="G5" s="10">
        <v>106</v>
      </c>
      <c r="H5" s="10">
        <v>0</v>
      </c>
      <c r="I5" s="9">
        <f t="shared" si="0"/>
        <v>16.600000000000001</v>
      </c>
    </row>
    <row r="6" spans="1:9" ht="14.25" customHeight="1" x14ac:dyDescent="0.35">
      <c r="A6" s="9" t="s">
        <v>23</v>
      </c>
      <c r="B6" s="9" t="s">
        <v>24</v>
      </c>
      <c r="C6" s="9" t="s">
        <v>25</v>
      </c>
      <c r="D6" s="9" t="s">
        <v>26</v>
      </c>
      <c r="E6" s="9" t="s">
        <v>104</v>
      </c>
      <c r="F6" s="9">
        <v>3</v>
      </c>
      <c r="G6" s="9">
        <v>56</v>
      </c>
      <c r="H6" s="9">
        <v>0</v>
      </c>
      <c r="I6" s="9">
        <f t="shared" si="0"/>
        <v>8.6000000000000014</v>
      </c>
    </row>
    <row r="7" spans="1:9" ht="14.25" customHeight="1" x14ac:dyDescent="0.35">
      <c r="A7" s="10" t="s">
        <v>27</v>
      </c>
      <c r="B7" s="10" t="s">
        <v>28</v>
      </c>
      <c r="C7" s="10" t="s">
        <v>29</v>
      </c>
      <c r="D7" s="10" t="s">
        <v>30</v>
      </c>
      <c r="E7" s="10" t="s">
        <v>104</v>
      </c>
      <c r="F7" s="10">
        <v>4</v>
      </c>
      <c r="G7" s="10">
        <v>56</v>
      </c>
      <c r="H7" s="10">
        <v>0</v>
      </c>
      <c r="I7" s="9">
        <f t="shared" si="0"/>
        <v>9.6000000000000014</v>
      </c>
    </row>
    <row r="8" spans="1:9" ht="14.25" customHeight="1" x14ac:dyDescent="0.35">
      <c r="A8" s="9" t="s">
        <v>31</v>
      </c>
      <c r="B8" s="9" t="s">
        <v>32</v>
      </c>
      <c r="C8" s="9" t="s">
        <v>33</v>
      </c>
      <c r="D8" s="9" t="s">
        <v>34</v>
      </c>
      <c r="E8" s="9" t="s">
        <v>104</v>
      </c>
      <c r="F8" s="9">
        <v>5</v>
      </c>
      <c r="G8" s="9">
        <v>88</v>
      </c>
      <c r="H8" s="9">
        <v>0</v>
      </c>
      <c r="I8" s="9">
        <f t="shared" si="0"/>
        <v>13.8</v>
      </c>
    </row>
    <row r="9" spans="1:9" ht="14.25" customHeight="1" x14ac:dyDescent="0.35">
      <c r="A9" s="10" t="s">
        <v>35</v>
      </c>
      <c r="B9" s="10" t="s">
        <v>36</v>
      </c>
      <c r="C9" s="10" t="s">
        <v>37</v>
      </c>
      <c r="D9" s="10" t="s">
        <v>38</v>
      </c>
      <c r="E9" s="10" t="s">
        <v>104</v>
      </c>
      <c r="F9" s="10">
        <v>4</v>
      </c>
      <c r="G9" s="10">
        <v>39</v>
      </c>
      <c r="H9" s="10">
        <v>0</v>
      </c>
      <c r="I9" s="9">
        <f t="shared" si="0"/>
        <v>7.9</v>
      </c>
    </row>
    <row r="10" spans="1:9" ht="14.25" customHeight="1" x14ac:dyDescent="0.35">
      <c r="A10" s="9" t="s">
        <v>39</v>
      </c>
      <c r="B10" s="9" t="s">
        <v>40</v>
      </c>
      <c r="C10" s="9" t="s">
        <v>41</v>
      </c>
      <c r="D10" s="9" t="s">
        <v>42</v>
      </c>
      <c r="E10" s="9" t="s">
        <v>104</v>
      </c>
      <c r="F10" s="9">
        <v>5</v>
      </c>
      <c r="G10" s="9">
        <v>35</v>
      </c>
      <c r="H10" s="9">
        <v>0</v>
      </c>
      <c r="I10" s="9">
        <f t="shared" si="0"/>
        <v>8.5</v>
      </c>
    </row>
    <row r="11" spans="1:9" ht="14.25" customHeight="1" x14ac:dyDescent="0.35">
      <c r="A11" s="10" t="s">
        <v>43</v>
      </c>
      <c r="B11" s="10" t="s">
        <v>44</v>
      </c>
      <c r="C11" s="10" t="s">
        <v>45</v>
      </c>
      <c r="D11" s="10" t="s">
        <v>46</v>
      </c>
      <c r="E11" s="10" t="s">
        <v>104</v>
      </c>
      <c r="F11" s="10">
        <v>5</v>
      </c>
      <c r="G11" s="10">
        <v>60</v>
      </c>
      <c r="H11" s="10">
        <v>0</v>
      </c>
      <c r="I11" s="9">
        <f t="shared" si="0"/>
        <v>11</v>
      </c>
    </row>
    <row r="12" spans="1:9" ht="14.25" customHeight="1" x14ac:dyDescent="0.35">
      <c r="A12" s="9" t="s">
        <v>47</v>
      </c>
      <c r="B12" s="9" t="s">
        <v>48</v>
      </c>
      <c r="C12" s="9" t="s">
        <v>49</v>
      </c>
      <c r="D12" s="9" t="s">
        <v>50</v>
      </c>
      <c r="E12" s="9" t="s">
        <v>104</v>
      </c>
      <c r="F12" s="9">
        <v>6</v>
      </c>
      <c r="G12" s="9">
        <v>77</v>
      </c>
      <c r="H12" s="9">
        <v>0</v>
      </c>
      <c r="I12" s="9">
        <f t="shared" si="0"/>
        <v>13.7</v>
      </c>
    </row>
    <row r="13" spans="1:9" ht="14.25" customHeight="1" x14ac:dyDescent="0.35">
      <c r="A13" s="10" t="s">
        <v>51</v>
      </c>
      <c r="B13" s="10" t="s">
        <v>52</v>
      </c>
      <c r="C13" s="10" t="s">
        <v>53</v>
      </c>
      <c r="D13" s="10" t="s">
        <v>54</v>
      </c>
      <c r="E13" s="10" t="s">
        <v>104</v>
      </c>
      <c r="F13" s="10">
        <v>1</v>
      </c>
      <c r="G13" s="10">
        <v>1</v>
      </c>
      <c r="H13" s="10">
        <v>0</v>
      </c>
      <c r="I13" s="9">
        <f t="shared" si="0"/>
        <v>1.1000000000000001</v>
      </c>
    </row>
    <row r="14" spans="1:9" ht="14.25" customHeight="1" x14ac:dyDescent="0.35">
      <c r="A14" s="9" t="s">
        <v>55</v>
      </c>
      <c r="B14" s="9" t="s">
        <v>56</v>
      </c>
      <c r="C14" s="9" t="s">
        <v>57</v>
      </c>
      <c r="D14" s="9" t="s">
        <v>58</v>
      </c>
      <c r="E14" s="9" t="s">
        <v>104</v>
      </c>
      <c r="F14" s="9">
        <v>5</v>
      </c>
      <c r="G14" s="9">
        <v>62</v>
      </c>
      <c r="H14" s="9">
        <v>0</v>
      </c>
      <c r="I14" s="9">
        <f t="shared" si="0"/>
        <v>11.2</v>
      </c>
    </row>
    <row r="15" spans="1:9" ht="14.25" customHeight="1" x14ac:dyDescent="0.35">
      <c r="A15" s="10" t="s">
        <v>59</v>
      </c>
      <c r="B15" s="10" t="s">
        <v>60</v>
      </c>
      <c r="C15" s="10" t="s">
        <v>61</v>
      </c>
      <c r="D15" s="10" t="s">
        <v>62</v>
      </c>
      <c r="E15" s="10" t="s">
        <v>104</v>
      </c>
      <c r="F15" s="10">
        <v>4</v>
      </c>
      <c r="G15" s="10">
        <v>58</v>
      </c>
      <c r="H15" s="10">
        <v>0</v>
      </c>
      <c r="I15" s="9">
        <f t="shared" si="0"/>
        <v>9.8000000000000007</v>
      </c>
    </row>
    <row r="16" spans="1:9" ht="14.25" customHeight="1" x14ac:dyDescent="0.35">
      <c r="A16" s="9" t="s">
        <v>63</v>
      </c>
      <c r="B16" s="9" t="s">
        <v>64</v>
      </c>
      <c r="C16" s="9" t="s">
        <v>65</v>
      </c>
      <c r="D16" s="9" t="s">
        <v>66</v>
      </c>
      <c r="E16" s="9" t="s">
        <v>104</v>
      </c>
      <c r="F16" s="9">
        <v>4</v>
      </c>
      <c r="G16" s="9">
        <v>29</v>
      </c>
      <c r="H16" s="9">
        <v>0</v>
      </c>
      <c r="I16" s="9">
        <f t="shared" si="0"/>
        <v>6.9</v>
      </c>
    </row>
    <row r="17" spans="1:9" ht="14.25" customHeight="1" x14ac:dyDescent="0.35">
      <c r="A17" s="10" t="s">
        <v>67</v>
      </c>
      <c r="B17" s="10" t="s">
        <v>68</v>
      </c>
      <c r="C17" s="10" t="s">
        <v>69</v>
      </c>
      <c r="D17" s="10" t="s">
        <v>70</v>
      </c>
      <c r="E17" s="10" t="s">
        <v>104</v>
      </c>
      <c r="F17" s="10">
        <v>4</v>
      </c>
      <c r="G17" s="10">
        <v>71</v>
      </c>
      <c r="H17" s="10">
        <v>0</v>
      </c>
      <c r="I17" s="9">
        <f t="shared" si="0"/>
        <v>11.100000000000001</v>
      </c>
    </row>
    <row r="18" spans="1:9" ht="14.25" customHeight="1" x14ac:dyDescent="0.35">
      <c r="A18" s="9" t="s">
        <v>71</v>
      </c>
      <c r="B18" s="9" t="s">
        <v>72</v>
      </c>
      <c r="C18" s="9" t="s">
        <v>73</v>
      </c>
      <c r="D18" s="9" t="s">
        <v>74</v>
      </c>
      <c r="E18" s="9">
        <v>0</v>
      </c>
      <c r="F18" s="9">
        <v>0</v>
      </c>
      <c r="G18" s="9">
        <v>0</v>
      </c>
      <c r="H18" s="9">
        <v>0</v>
      </c>
      <c r="I18" s="9">
        <f t="shared" si="0"/>
        <v>0</v>
      </c>
    </row>
    <row r="19" spans="1:9" ht="14.25" customHeight="1" x14ac:dyDescent="0.35">
      <c r="A19" s="10" t="s">
        <v>75</v>
      </c>
      <c r="B19" s="10" t="s">
        <v>76</v>
      </c>
      <c r="C19" s="10" t="s">
        <v>77</v>
      </c>
      <c r="D19" s="10" t="s">
        <v>78</v>
      </c>
      <c r="E19" s="10">
        <v>0</v>
      </c>
      <c r="F19" s="10">
        <v>0</v>
      </c>
      <c r="G19" s="10">
        <v>0</v>
      </c>
      <c r="H19" s="10">
        <v>0</v>
      </c>
      <c r="I19" s="9">
        <f t="shared" si="0"/>
        <v>0</v>
      </c>
    </row>
    <row r="20" spans="1:9" ht="14.25" customHeight="1" x14ac:dyDescent="0.35">
      <c r="A20" s="9" t="s">
        <v>79</v>
      </c>
      <c r="B20" s="9" t="s">
        <v>80</v>
      </c>
      <c r="C20" s="9" t="s">
        <v>81</v>
      </c>
      <c r="D20" s="9" t="s">
        <v>82</v>
      </c>
      <c r="E20" s="9">
        <v>0</v>
      </c>
      <c r="F20" s="9">
        <v>0</v>
      </c>
      <c r="G20" s="9">
        <v>0</v>
      </c>
      <c r="H20" s="9">
        <v>0</v>
      </c>
      <c r="I20" s="9">
        <f t="shared" si="0"/>
        <v>0</v>
      </c>
    </row>
    <row r="21" spans="1:9" ht="6" customHeight="1" x14ac:dyDescent="0.35">
      <c r="I21" s="9">
        <f>F21+0.1*G21</f>
        <v>0</v>
      </c>
    </row>
    <row r="22" spans="1:9" ht="14.25" customHeight="1" x14ac:dyDescent="0.35">
      <c r="A22" s="11" t="s">
        <v>83</v>
      </c>
      <c r="B22" s="11" t="s">
        <v>84</v>
      </c>
      <c r="C22" s="11" t="s">
        <v>61</v>
      </c>
      <c r="D22" s="11" t="s">
        <v>85</v>
      </c>
      <c r="E22" s="11" t="s">
        <v>104</v>
      </c>
      <c r="F22" s="11">
        <v>5</v>
      </c>
      <c r="G22" s="11">
        <v>72</v>
      </c>
      <c r="H22" s="11">
        <v>0</v>
      </c>
      <c r="I22" s="9">
        <f>F22+0.1*G22+IFERROR(E22*6,0)-2*H22</f>
        <v>12.2</v>
      </c>
    </row>
    <row r="23" spans="1:9" ht="14.25" customHeight="1" x14ac:dyDescent="0.35">
      <c r="A23" s="12" t="s">
        <v>86</v>
      </c>
      <c r="B23" s="12" t="s">
        <v>87</v>
      </c>
      <c r="C23" s="12" t="s">
        <v>88</v>
      </c>
      <c r="D23" s="12" t="s">
        <v>89</v>
      </c>
      <c r="E23" s="12" t="s">
        <v>104</v>
      </c>
      <c r="F23" s="12">
        <v>2</v>
      </c>
      <c r="G23" s="12">
        <v>24</v>
      </c>
      <c r="H23" s="12">
        <v>0</v>
      </c>
      <c r="I23" s="9">
        <f>F23+0.1*G23+IFERROR(E23*6,0)-2*H23</f>
        <v>4.4000000000000004</v>
      </c>
    </row>
    <row r="24" spans="1:9" ht="14.25" customHeight="1" x14ac:dyDescent="0.35">
      <c r="A24" s="11" t="s">
        <v>90</v>
      </c>
      <c r="B24" s="11" t="s">
        <v>91</v>
      </c>
      <c r="C24" s="11" t="s">
        <v>73</v>
      </c>
      <c r="D24" s="11" t="s">
        <v>92</v>
      </c>
      <c r="E24" s="11">
        <v>6</v>
      </c>
      <c r="F24" s="11">
        <v>4</v>
      </c>
      <c r="G24" s="11">
        <v>89</v>
      </c>
      <c r="H24" s="11">
        <v>0</v>
      </c>
      <c r="I24" s="9">
        <f>F24+0.1*G24+IFERROR(E24*6,0)-2*H24</f>
        <v>48.9</v>
      </c>
    </row>
    <row r="25" spans="1:9" ht="57" customHeight="1" x14ac:dyDescent="0.35">
      <c r="A25" s="13" t="s">
        <v>93</v>
      </c>
      <c r="B25" s="13"/>
      <c r="C25" s="13"/>
      <c r="D25" s="13"/>
      <c r="E25" s="13" t="s">
        <v>105</v>
      </c>
      <c r="F25" s="13">
        <f>SUM(F4:F20)</f>
        <v>60</v>
      </c>
      <c r="G25" s="13">
        <f>SUM(G4:G20)</f>
        <v>789</v>
      </c>
      <c r="H25" s="13">
        <f>SUM(H4:H20)</f>
        <v>0</v>
      </c>
      <c r="I25" s="13">
        <f>SUM(I4:I20)</f>
        <v>138.9</v>
      </c>
    </row>
    <row r="27" spans="1:9" ht="45.75" customHeight="1" x14ac:dyDescent="0.35">
      <c r="A27" s="14" t="s">
        <v>94</v>
      </c>
      <c r="B27" s="14"/>
      <c r="C27" s="14"/>
      <c r="D27" s="14"/>
      <c r="E27" s="14" t="s">
        <v>105</v>
      </c>
      <c r="F27" s="14">
        <f>SUM(F22:F24)</f>
        <v>11</v>
      </c>
      <c r="G27" s="14">
        <f>SUM(G22:G24)</f>
        <v>185</v>
      </c>
      <c r="H27" s="14">
        <f>SUM(H22:H24)</f>
        <v>0</v>
      </c>
      <c r="I27" s="14">
        <f>SUM(I22:I24)</f>
        <v>65.5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A300"/>
  </sheetPr>
  <dimension ref="A1:AA32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32" sqref="L32"/>
    </sheetView>
  </sheetViews>
  <sheetFormatPr defaultColWidth="8.6328125" defaultRowHeight="14.5" x14ac:dyDescent="0.35"/>
  <cols>
    <col min="1" max="1" width="14" customWidth="1"/>
    <col min="2" max="2" width="5" customWidth="1"/>
    <col min="3" max="22" width="6.54296875" customWidth="1"/>
    <col min="23" max="23" width="9" customWidth="1"/>
    <col min="24" max="24" width="7" customWidth="1"/>
    <col min="25" max="25" width="8" customWidth="1"/>
    <col min="26" max="27" width="9" customWidth="1"/>
  </cols>
  <sheetData>
    <row r="1" spans="1:27" ht="25.5" customHeight="1" x14ac:dyDescent="0.35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 x14ac:dyDescent="0.35">
      <c r="A2" s="5" t="s">
        <v>109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31.5" customHeight="1" x14ac:dyDescent="0.35">
      <c r="A3" s="17" t="s">
        <v>110</v>
      </c>
      <c r="B3" s="17" t="s">
        <v>111</v>
      </c>
      <c r="C3" s="18" t="s">
        <v>15</v>
      </c>
      <c r="D3" s="18" t="s">
        <v>19</v>
      </c>
      <c r="E3" s="18" t="s">
        <v>23</v>
      </c>
      <c r="F3" s="18" t="s">
        <v>27</v>
      </c>
      <c r="G3" s="18" t="s">
        <v>31</v>
      </c>
      <c r="H3" s="18" t="s">
        <v>35</v>
      </c>
      <c r="I3" s="18" t="s">
        <v>39</v>
      </c>
      <c r="J3" s="18" t="s">
        <v>43</v>
      </c>
      <c r="K3" s="18" t="s">
        <v>47</v>
      </c>
      <c r="L3" s="18" t="s">
        <v>51</v>
      </c>
      <c r="M3" s="18" t="s">
        <v>55</v>
      </c>
      <c r="N3" s="18" t="s">
        <v>59</v>
      </c>
      <c r="O3" s="18" t="s">
        <v>63</v>
      </c>
      <c r="P3" s="18" t="s">
        <v>67</v>
      </c>
      <c r="Q3" s="18" t="s">
        <v>71</v>
      </c>
      <c r="R3" s="18" t="s">
        <v>75</v>
      </c>
      <c r="S3" s="18" t="s">
        <v>79</v>
      </c>
      <c r="T3" s="19" t="s">
        <v>83</v>
      </c>
      <c r="U3" s="19" t="s">
        <v>86</v>
      </c>
      <c r="V3" s="19" t="s">
        <v>90</v>
      </c>
      <c r="W3" s="18" t="s">
        <v>112</v>
      </c>
      <c r="X3" s="18" t="s">
        <v>113</v>
      </c>
      <c r="Y3" s="19" t="s">
        <v>114</v>
      </c>
      <c r="Z3" s="20" t="s">
        <v>115</v>
      </c>
      <c r="AA3" s="21" t="s">
        <v>116</v>
      </c>
    </row>
    <row r="4" spans="1:27" ht="18" customHeight="1" x14ac:dyDescent="0.35">
      <c r="A4" s="22" t="s">
        <v>117</v>
      </c>
      <c r="B4" s="14" t="s">
        <v>118</v>
      </c>
      <c r="C4" s="23">
        <f>'QB - Stafford'!M4</f>
        <v>11.600000000000001</v>
      </c>
      <c r="D4" s="23">
        <f>'QB - Stafford'!M5</f>
        <v>17.32</v>
      </c>
      <c r="E4" s="23">
        <f>'QB - Stafford'!M6</f>
        <v>15.84</v>
      </c>
      <c r="F4" s="23">
        <f>'QB - Stafford'!M7</f>
        <v>27.4</v>
      </c>
      <c r="G4" s="23">
        <f>'QB - Stafford'!M8</f>
        <v>25.560000000000002</v>
      </c>
      <c r="H4" s="23">
        <f>'QB - Stafford'!M9</f>
        <v>11.34</v>
      </c>
      <c r="I4" s="23">
        <f>'QB - Stafford'!M10</f>
        <v>27.380000000000003</v>
      </c>
      <c r="J4" s="23">
        <f>'QB - Stafford'!M11</f>
        <v>26.840000000000003</v>
      </c>
      <c r="K4" s="23">
        <f>'QB - Stafford'!M12</f>
        <v>26.900000000000002</v>
      </c>
      <c r="L4" s="23">
        <f>'QB - Stafford'!M13</f>
        <v>13.2</v>
      </c>
      <c r="M4" s="23">
        <f>'QB - Stafford'!M14</f>
        <v>22.92</v>
      </c>
      <c r="N4" s="23">
        <f>'QB - Stafford'!M15</f>
        <v>17.619999999999997</v>
      </c>
      <c r="O4" s="23">
        <f>'QB - Stafford'!M16</f>
        <v>23.240000000000002</v>
      </c>
      <c r="P4" s="23">
        <f>'QB - Stafford'!M17</f>
        <v>22.919999999999998</v>
      </c>
      <c r="Q4" s="23">
        <f>'QB - Stafford'!M18</f>
        <v>30.880000000000003</v>
      </c>
      <c r="R4" s="23">
        <f>'QB - Stafford'!M19</f>
        <v>18.759999999999998</v>
      </c>
      <c r="S4" s="23">
        <f>'QB - Stafford'!M20</f>
        <v>26.66</v>
      </c>
      <c r="T4" s="24">
        <f>'QB - Stafford'!M22</f>
        <v>24.16</v>
      </c>
      <c r="U4" s="24">
        <f>'QB - Stafford'!M23</f>
        <v>10.220000000000001</v>
      </c>
      <c r="V4" s="24">
        <f>'QB - Stafford'!M24</f>
        <v>28.560000000000002</v>
      </c>
      <c r="W4" s="25">
        <f>SUM(C4,D4,E4,F4,G4,H4,I4,J4,K4,L4,M4,N4,O4,P4,Q4,R4,S4)</f>
        <v>366.38000000000005</v>
      </c>
      <c r="X4" s="26">
        <v>0</v>
      </c>
      <c r="Y4" s="25">
        <f>SUM(T4,U4,V4)</f>
        <v>62.940000000000005</v>
      </c>
      <c r="Z4" s="25">
        <f>MAX(C4,D4,E4,F4,G4,H4,I4,J4,K4,L4,M4,N4,O4,P4,Q4,R4,S4,T4,U4,V4)</f>
        <v>30.880000000000003</v>
      </c>
      <c r="AA4" s="25">
        <f>MIN(C4:V4)</f>
        <v>10.220000000000001</v>
      </c>
    </row>
    <row r="5" spans="1:27" ht="18" customHeight="1" x14ac:dyDescent="0.35">
      <c r="A5" s="27" t="s">
        <v>119</v>
      </c>
      <c r="B5" s="28" t="s">
        <v>120</v>
      </c>
      <c r="C5" s="29">
        <f>'RB - K.Williams'!H4</f>
        <v>12.600000000000001</v>
      </c>
      <c r="D5" s="29">
        <f>'RB - K.Williams'!H5</f>
        <v>6.6000000000000005</v>
      </c>
      <c r="E5" s="29">
        <f>'RB - K.Williams'!H6</f>
        <v>9.4</v>
      </c>
      <c r="F5" s="29">
        <f>'RB - K.Williams'!H7</f>
        <v>7.7</v>
      </c>
      <c r="G5" s="29">
        <f>'RB - K.Williams'!H8</f>
        <v>6.5</v>
      </c>
      <c r="H5" s="29">
        <f>'RB - K.Williams'!H9</f>
        <v>11</v>
      </c>
      <c r="I5" s="29">
        <f>'RB - K.Williams'!H10</f>
        <v>5.4</v>
      </c>
      <c r="J5" s="29">
        <f>'RB - K.Williams'!H11</f>
        <v>17.399999999999999</v>
      </c>
      <c r="K5" s="29">
        <f>'RB - K.Williams'!H12</f>
        <v>19.3</v>
      </c>
      <c r="L5" s="29">
        <f>'RB - K.Williams'!H13</f>
        <v>15.1</v>
      </c>
      <c r="M5" s="29">
        <f>'RB - K.Williams'!H14</f>
        <v>4.6000000000000005</v>
      </c>
      <c r="N5" s="29">
        <f>'RB - K.Williams'!H15</f>
        <v>13.2</v>
      </c>
      <c r="O5" s="29">
        <f>'RB - K.Williams'!H16</f>
        <v>14.4</v>
      </c>
      <c r="P5" s="29">
        <f>'RB - K.Williams'!H17</f>
        <v>19.8</v>
      </c>
      <c r="Q5" s="29">
        <f>'RB - K.Williams'!H18</f>
        <v>7</v>
      </c>
      <c r="R5" s="29">
        <f>'RB - K.Williams'!H19</f>
        <v>9.2000000000000011</v>
      </c>
      <c r="S5" s="29">
        <f>'RB - K.Williams'!H20</f>
        <v>6</v>
      </c>
      <c r="T5" s="24">
        <f>'RB - K.Williams'!H22</f>
        <v>5.7</v>
      </c>
      <c r="U5" s="24">
        <f>'RB - K.Williams'!H23</f>
        <v>20.700000000000003</v>
      </c>
      <c r="V5" s="24">
        <f>'RB - K.Williams'!H24</f>
        <v>3.9000000000000004</v>
      </c>
      <c r="W5" s="30">
        <f>SUM(C5,D5,E5,F5,G5,H5,I5,J5,K5,L5,M5,N5,O5,P5,Q5,R5,S5)</f>
        <v>185.2</v>
      </c>
      <c r="X5" s="31">
        <v>0</v>
      </c>
      <c r="Y5" s="30">
        <f>SUM(T5,U5,V5)</f>
        <v>30.300000000000004</v>
      </c>
      <c r="Z5" s="30">
        <f>MAX(C5,D5,E5,F5,G5,H5,I5,J5,K5,L5,M5,N5,O5,P5,Q5,R5,S5,T5,U5,V5)</f>
        <v>20.700000000000003</v>
      </c>
      <c r="AA5" s="25">
        <f t="shared" ref="AA5:AA8" si="0">MIN(C5:V5)</f>
        <v>3.9000000000000004</v>
      </c>
    </row>
    <row r="6" spans="1:27" ht="18" customHeight="1" x14ac:dyDescent="0.35">
      <c r="A6" s="32" t="s">
        <v>121</v>
      </c>
      <c r="B6" s="33" t="s">
        <v>120</v>
      </c>
      <c r="C6" s="23">
        <f>'RB - B.Corum'!H4</f>
        <v>0.2</v>
      </c>
      <c r="D6" s="23">
        <f>'RB - B.Corum'!H5</f>
        <v>10.4</v>
      </c>
      <c r="E6" s="23">
        <f>'RB - B.Corum'!H6</f>
        <v>5.3000000000000007</v>
      </c>
      <c r="F6" s="23">
        <f>'RB - B.Corum'!H7</f>
        <v>2.1</v>
      </c>
      <c r="G6" s="23">
        <f>'RB - B.Corum'!H8</f>
        <v>1.3</v>
      </c>
      <c r="H6" s="23">
        <f>'RB - B.Corum'!H9</f>
        <v>2.3000000000000003</v>
      </c>
      <c r="I6" s="23">
        <f>'RB - B.Corum'!H10</f>
        <v>3.7</v>
      </c>
      <c r="J6" s="23">
        <f>'RB - B.Corum'!H11</f>
        <v>5.8000000000000007</v>
      </c>
      <c r="K6" s="23">
        <f>'RB - B.Corum'!H12</f>
        <v>5.6000000000000005</v>
      </c>
      <c r="L6" s="23">
        <f>'RB - B.Corum'!H13</f>
        <v>3.5</v>
      </c>
      <c r="M6" s="23">
        <f>'RB - B.Corum'!H14</f>
        <v>7.9</v>
      </c>
      <c r="N6" s="23">
        <f>'RB - B.Corum'!H15</f>
        <v>14.1</v>
      </c>
      <c r="O6" s="23">
        <f>'RB - B.Corum'!H16</f>
        <v>1.8</v>
      </c>
      <c r="P6" s="23">
        <f>'RB - B.Corum'!H17</f>
        <v>4.6000000000000005</v>
      </c>
      <c r="Q6" s="23">
        <f>'RB - B.Corum'!H18</f>
        <v>3.5</v>
      </c>
      <c r="R6" s="23">
        <f>'RB - B.Corum'!H19</f>
        <v>10.199999999999999</v>
      </c>
      <c r="S6" s="23">
        <f>'RB - B.Corum'!H20</f>
        <v>11.9</v>
      </c>
      <c r="T6" s="24">
        <f>'RB - B.Corum'!H22</f>
        <v>4.5</v>
      </c>
      <c r="U6" s="24">
        <f>'RB - B.Corum'!H23</f>
        <v>1.9000000000000001</v>
      </c>
      <c r="V6" s="24">
        <f>'RB - B.Corum'!H24</f>
        <v>5.5</v>
      </c>
      <c r="W6" s="34">
        <f>SUM(C6,D6,E6,F6,G6,H6,I6,J6,K6,L6,M6,N6,O6,P6,Q6,R6,S6)</f>
        <v>94.2</v>
      </c>
      <c r="X6" s="35">
        <v>0</v>
      </c>
      <c r="Y6" s="34">
        <f>SUM(T6,U6,V6)</f>
        <v>11.9</v>
      </c>
      <c r="Z6" s="34">
        <f>MAX(C6,D6,E6,F6,G6,H6,I6,J6,K6,L6,M6,N6,O6,P6,Q6,R6,S6,T6,U6,V6)</f>
        <v>14.1</v>
      </c>
      <c r="AA6" s="25">
        <f t="shared" si="0"/>
        <v>0.2</v>
      </c>
    </row>
    <row r="7" spans="1:27" ht="18" customHeight="1" x14ac:dyDescent="0.35">
      <c r="A7" s="36" t="s">
        <v>122</v>
      </c>
      <c r="B7" s="37" t="s">
        <v>123</v>
      </c>
      <c r="C7" s="29">
        <f>'WR - P.Nacua'!I4</f>
        <v>23</v>
      </c>
      <c r="D7" s="29">
        <f>'WR - P.Nacua'!I5</f>
        <v>17.100000000000001</v>
      </c>
      <c r="E7" s="29">
        <f>'WR - P.Nacua'!I6</f>
        <v>22.200000000000003</v>
      </c>
      <c r="F7" s="29">
        <f>'WR - P.Nacua'!I7</f>
        <v>120</v>
      </c>
      <c r="G7" s="29">
        <f>'WR - P.Nacua'!I8</f>
        <v>18.5</v>
      </c>
      <c r="H7" s="29">
        <f>'WR - P.Nacua'!I9</f>
        <v>4.8000000000000007</v>
      </c>
      <c r="I7" s="38">
        <f>'WR - P.Nacua'!I10</f>
        <v>0</v>
      </c>
      <c r="J7" s="29">
        <f>'WR - P.Nacua'!I11</f>
        <v>16.5</v>
      </c>
      <c r="K7" s="29">
        <f>'WR - P.Nacua'!I12</f>
        <v>11.4</v>
      </c>
      <c r="L7" s="29">
        <f>'WR - P.Nacua'!I13</f>
        <v>12.5</v>
      </c>
      <c r="M7" s="29">
        <f>'WR - P.Nacua'!I14</f>
        <v>16.700000000000003</v>
      </c>
      <c r="N7" s="29">
        <f>'WR - P.Nacua'!I15</f>
        <v>13.2</v>
      </c>
      <c r="O7" s="29">
        <f>'WR - P.Nacua'!I16</f>
        <v>23.7</v>
      </c>
      <c r="P7" s="29">
        <f>'WR - P.Nacua'!I17</f>
        <v>27.1</v>
      </c>
      <c r="Q7" s="29">
        <f>'WR - P.Nacua'!I18</f>
        <v>34.5</v>
      </c>
      <c r="R7" s="29">
        <f>'WR - P.Nacua'!I19</f>
        <v>9.6999999999999993</v>
      </c>
      <c r="S7" s="29">
        <f>'WR - P.Nacua'!I20</f>
        <v>83.6</v>
      </c>
      <c r="T7" s="24">
        <f>'WR - P.Nacua'!I22</f>
        <v>21.1</v>
      </c>
      <c r="U7" s="24">
        <f>'WR - P.Nacua'!I23</f>
        <v>10.600000000000001</v>
      </c>
      <c r="V7" s="24">
        <f>'WR - P.Nacua'!I24</f>
        <v>25.5</v>
      </c>
      <c r="W7" s="39">
        <f>SUM(C7,D7,E7,F7,G7,H7,I7,J7,K7,L7,M7,N7,O7,P7,Q7,R7,S7)</f>
        <v>454.5</v>
      </c>
      <c r="X7" s="40">
        <v>0</v>
      </c>
      <c r="Y7" s="39">
        <f>SUM(T7,U7,V7)</f>
        <v>57.2</v>
      </c>
      <c r="Z7" s="39">
        <f>MAX(C7,D7,E7,F7,G7,H7,I7,J7,K7,L7,M7,N7,O7,P7,Q7,R7,S7,T7,U7,V7)</f>
        <v>120</v>
      </c>
      <c r="AA7" s="25">
        <f t="shared" si="0"/>
        <v>0</v>
      </c>
    </row>
    <row r="8" spans="1:27" ht="18" customHeight="1" x14ac:dyDescent="0.35">
      <c r="A8" s="41" t="s">
        <v>124</v>
      </c>
      <c r="B8" s="42" t="s">
        <v>123</v>
      </c>
      <c r="C8" s="23">
        <f>'WR - D.Adams'!I4</f>
        <v>9.1000000000000014</v>
      </c>
      <c r="D8" s="23">
        <f>'WR - D.Adams'!I5</f>
        <v>16.600000000000001</v>
      </c>
      <c r="E8" s="23">
        <f>'WR - D.Adams'!I6</f>
        <v>8.6000000000000014</v>
      </c>
      <c r="F8" s="23">
        <f>'WR - D.Adams'!I7</f>
        <v>9.6000000000000014</v>
      </c>
      <c r="G8" s="23">
        <f>'WR - D.Adams'!I8</f>
        <v>13.8</v>
      </c>
      <c r="H8" s="23">
        <f>'WR - D.Adams'!I9</f>
        <v>7.9</v>
      </c>
      <c r="I8" s="23">
        <f>'WR - D.Adams'!I10</f>
        <v>8.5</v>
      </c>
      <c r="J8" s="23">
        <f>'WR - D.Adams'!I11</f>
        <v>11</v>
      </c>
      <c r="K8" s="23">
        <f>'WR - D.Adams'!I12</f>
        <v>13.7</v>
      </c>
      <c r="L8" s="23">
        <f>'WR - D.Adams'!I13</f>
        <v>1.1000000000000001</v>
      </c>
      <c r="M8" s="23">
        <f>'WR - D.Adams'!I14</f>
        <v>11.2</v>
      </c>
      <c r="N8" s="23">
        <f>'WR - D.Adams'!I15</f>
        <v>9.8000000000000007</v>
      </c>
      <c r="O8" s="23">
        <f>'WR - D.Adams'!I16</f>
        <v>6.9</v>
      </c>
      <c r="P8" s="23">
        <f>'WR - D.Adams'!I17</f>
        <v>11.100000000000001</v>
      </c>
      <c r="Q8" s="23">
        <f>'WR - D.Adams'!I18</f>
        <v>0</v>
      </c>
      <c r="R8" s="23">
        <f>'WR - D.Adams'!I19</f>
        <v>0</v>
      </c>
      <c r="S8" s="23">
        <f>'WR - D.Adams'!I20</f>
        <v>0</v>
      </c>
      <c r="T8" s="24">
        <f>'WR - D.Adams'!I22</f>
        <v>12.2</v>
      </c>
      <c r="U8" s="24">
        <f>'WR - D.Adams'!I23</f>
        <v>4.4000000000000004</v>
      </c>
      <c r="V8" s="24">
        <f>'WR - D.Adams'!I24</f>
        <v>48.9</v>
      </c>
      <c r="W8" s="43">
        <f>SUM(C8,D8,E8,F8,G8,H8,I8,J8,K8,L8,M8,N8,O8,P8,Q8,R8,S8)</f>
        <v>138.9</v>
      </c>
      <c r="X8" s="44">
        <v>0</v>
      </c>
      <c r="Y8" s="43">
        <f>SUM(T8,U8,V8)</f>
        <v>65.5</v>
      </c>
      <c r="Z8" s="43">
        <f>MAX(C8,D8,E8,F8,G8,H8,I8,J8,K8,L8,M8,N8,O8,P8,Q8,R8,S8,T8,U8,V8)</f>
        <v>48.9</v>
      </c>
      <c r="AA8" s="25">
        <f t="shared" si="0"/>
        <v>0</v>
      </c>
    </row>
    <row r="10" spans="1:27" ht="19.5" customHeight="1" x14ac:dyDescent="0.35">
      <c r="A10" s="4" t="s">
        <v>125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7.75" customHeight="1" x14ac:dyDescent="0.35">
      <c r="A11" s="45" t="s">
        <v>110</v>
      </c>
      <c r="B11" s="45" t="s">
        <v>111</v>
      </c>
      <c r="C11" s="45" t="s">
        <v>15</v>
      </c>
      <c r="D11" s="45" t="s">
        <v>19</v>
      </c>
      <c r="E11" s="45" t="s">
        <v>23</v>
      </c>
      <c r="F11" s="45" t="s">
        <v>27</v>
      </c>
      <c r="G11" s="45" t="s">
        <v>31</v>
      </c>
      <c r="H11" s="45" t="s">
        <v>35</v>
      </c>
      <c r="I11" s="45" t="s">
        <v>39</v>
      </c>
      <c r="J11" s="45" t="s">
        <v>43</v>
      </c>
      <c r="K11" s="45" t="s">
        <v>47</v>
      </c>
      <c r="L11" s="45" t="s">
        <v>51</v>
      </c>
      <c r="M11" s="45" t="s">
        <v>55</v>
      </c>
      <c r="N11" s="45" t="s">
        <v>59</v>
      </c>
      <c r="O11" s="45" t="s">
        <v>63</v>
      </c>
      <c r="P11" s="45" t="s">
        <v>67</v>
      </c>
      <c r="Q11" s="45" t="s">
        <v>71</v>
      </c>
      <c r="R11" s="45" t="s">
        <v>75</v>
      </c>
      <c r="S11" s="45" t="s">
        <v>79</v>
      </c>
      <c r="T11" s="45" t="s">
        <v>83</v>
      </c>
      <c r="U11" s="45" t="s">
        <v>86</v>
      </c>
      <c r="V11" s="45" t="s">
        <v>90</v>
      </c>
      <c r="W11" s="45" t="s">
        <v>126</v>
      </c>
      <c r="X11" s="45" t="s">
        <v>127</v>
      </c>
      <c r="Y11" s="45" t="s">
        <v>128</v>
      </c>
      <c r="Z11" s="45" t="s">
        <v>129</v>
      </c>
      <c r="AA11" s="45" t="s">
        <v>105</v>
      </c>
    </row>
    <row r="12" spans="1:27" ht="18" customHeight="1" x14ac:dyDescent="0.35">
      <c r="A12" s="22" t="s">
        <v>117</v>
      </c>
      <c r="B12" s="14" t="s">
        <v>118</v>
      </c>
      <c r="C12" s="46">
        <f>RANK(C4, C4:C8)</f>
        <v>3</v>
      </c>
      <c r="D12" s="46">
        <f t="shared" ref="D12:V12" si="1">RANK(D4, D4:D8)</f>
        <v>1</v>
      </c>
      <c r="E12" s="46">
        <f t="shared" si="1"/>
        <v>2</v>
      </c>
      <c r="F12" s="46">
        <f t="shared" si="1"/>
        <v>2</v>
      </c>
      <c r="G12" s="46">
        <f t="shared" si="1"/>
        <v>1</v>
      </c>
      <c r="H12" s="46">
        <f t="shared" si="1"/>
        <v>1</v>
      </c>
      <c r="I12" s="46">
        <f t="shared" si="1"/>
        <v>1</v>
      </c>
      <c r="J12" s="46">
        <f t="shared" si="1"/>
        <v>1</v>
      </c>
      <c r="K12" s="46">
        <f t="shared" si="1"/>
        <v>1</v>
      </c>
      <c r="L12" s="46">
        <f t="shared" si="1"/>
        <v>2</v>
      </c>
      <c r="M12" s="46">
        <f t="shared" si="1"/>
        <v>1</v>
      </c>
      <c r="N12" s="46">
        <f t="shared" si="1"/>
        <v>1</v>
      </c>
      <c r="O12" s="46">
        <f t="shared" si="1"/>
        <v>2</v>
      </c>
      <c r="P12" s="46">
        <f t="shared" si="1"/>
        <v>2</v>
      </c>
      <c r="Q12" s="46">
        <f t="shared" si="1"/>
        <v>2</v>
      </c>
      <c r="R12" s="46">
        <f t="shared" si="1"/>
        <v>1</v>
      </c>
      <c r="S12" s="46">
        <f t="shared" si="1"/>
        <v>2</v>
      </c>
      <c r="T12" s="46">
        <f t="shared" si="1"/>
        <v>1</v>
      </c>
      <c r="U12" s="46">
        <f t="shared" si="1"/>
        <v>3</v>
      </c>
      <c r="V12" s="46">
        <f t="shared" si="1"/>
        <v>2</v>
      </c>
      <c r="W12" s="14">
        <f>COUNTIF(C12:S12,1)</f>
        <v>9</v>
      </c>
      <c r="X12" s="14">
        <f>AVERAGE(C12:S12)</f>
        <v>1.5294117647058822</v>
      </c>
      <c r="Y12" s="14">
        <f>COUNTIF(T12:V12,1)</f>
        <v>1</v>
      </c>
      <c r="Z12" s="14">
        <f>MIN(C12:V12)</f>
        <v>1</v>
      </c>
      <c r="AA12" s="47"/>
    </row>
    <row r="13" spans="1:27" ht="18" customHeight="1" x14ac:dyDescent="0.35">
      <c r="A13" s="27" t="s">
        <v>119</v>
      </c>
      <c r="B13" s="28" t="s">
        <v>120</v>
      </c>
      <c r="C13" s="46">
        <f>RANK(C5, C4:C8)</f>
        <v>2</v>
      </c>
      <c r="D13" s="46">
        <f t="shared" ref="D13:V13" si="2">RANK(D5, D4:D8)</f>
        <v>5</v>
      </c>
      <c r="E13" s="46">
        <f t="shared" si="2"/>
        <v>3</v>
      </c>
      <c r="F13" s="46">
        <f t="shared" si="2"/>
        <v>4</v>
      </c>
      <c r="G13" s="46">
        <f t="shared" si="2"/>
        <v>4</v>
      </c>
      <c r="H13" s="46">
        <f t="shared" si="2"/>
        <v>2</v>
      </c>
      <c r="I13" s="46">
        <f t="shared" si="2"/>
        <v>3</v>
      </c>
      <c r="J13" s="46">
        <f t="shared" si="2"/>
        <v>2</v>
      </c>
      <c r="K13" s="46">
        <f t="shared" si="2"/>
        <v>2</v>
      </c>
      <c r="L13" s="46">
        <f t="shared" si="2"/>
        <v>1</v>
      </c>
      <c r="M13" s="46">
        <f t="shared" si="2"/>
        <v>5</v>
      </c>
      <c r="N13" s="46">
        <f t="shared" si="2"/>
        <v>3</v>
      </c>
      <c r="O13" s="46">
        <f t="shared" si="2"/>
        <v>3</v>
      </c>
      <c r="P13" s="46">
        <f t="shared" si="2"/>
        <v>3</v>
      </c>
      <c r="Q13" s="46">
        <f t="shared" si="2"/>
        <v>3</v>
      </c>
      <c r="R13" s="46">
        <f t="shared" si="2"/>
        <v>4</v>
      </c>
      <c r="S13" s="46">
        <f t="shared" si="2"/>
        <v>4</v>
      </c>
      <c r="T13" s="46">
        <f t="shared" si="2"/>
        <v>4</v>
      </c>
      <c r="U13" s="46">
        <f t="shared" si="2"/>
        <v>1</v>
      </c>
      <c r="V13" s="46">
        <f t="shared" si="2"/>
        <v>5</v>
      </c>
      <c r="W13" s="28">
        <f>COUNTIF(C13:S13,1)</f>
        <v>1</v>
      </c>
      <c r="X13" s="28">
        <f>AVERAGE(C13:S13)</f>
        <v>3.1176470588235294</v>
      </c>
      <c r="Y13" s="28">
        <f>COUNTIF(T13:V13,1)</f>
        <v>1</v>
      </c>
      <c r="Z13" s="28">
        <f>MIN(C13:V13)</f>
        <v>1</v>
      </c>
      <c r="AA13" s="47"/>
    </row>
    <row r="14" spans="1:27" ht="18" customHeight="1" x14ac:dyDescent="0.35">
      <c r="A14" s="32" t="s">
        <v>121</v>
      </c>
      <c r="B14" s="33" t="s">
        <v>120</v>
      </c>
      <c r="C14" s="46">
        <f>RANK(C6, C4:C8)</f>
        <v>5</v>
      </c>
      <c r="D14" s="46">
        <f t="shared" ref="D14:V14" si="3">RANK(D6, D4:D8)</f>
        <v>4</v>
      </c>
      <c r="E14" s="46">
        <f t="shared" si="3"/>
        <v>5</v>
      </c>
      <c r="F14" s="46">
        <f t="shared" si="3"/>
        <v>5</v>
      </c>
      <c r="G14" s="46">
        <f t="shared" si="3"/>
        <v>5</v>
      </c>
      <c r="H14" s="46">
        <f t="shared" si="3"/>
        <v>5</v>
      </c>
      <c r="I14" s="46">
        <f t="shared" si="3"/>
        <v>4</v>
      </c>
      <c r="J14" s="46">
        <f t="shared" si="3"/>
        <v>5</v>
      </c>
      <c r="K14" s="46">
        <f t="shared" si="3"/>
        <v>5</v>
      </c>
      <c r="L14" s="46">
        <f t="shared" si="3"/>
        <v>4</v>
      </c>
      <c r="M14" s="46">
        <f t="shared" si="3"/>
        <v>4</v>
      </c>
      <c r="N14" s="46">
        <f t="shared" si="3"/>
        <v>2</v>
      </c>
      <c r="O14" s="46">
        <f t="shared" si="3"/>
        <v>5</v>
      </c>
      <c r="P14" s="46">
        <f t="shared" si="3"/>
        <v>5</v>
      </c>
      <c r="Q14" s="46">
        <f t="shared" si="3"/>
        <v>4</v>
      </c>
      <c r="R14" s="46">
        <f t="shared" si="3"/>
        <v>2</v>
      </c>
      <c r="S14" s="46">
        <f t="shared" si="3"/>
        <v>3</v>
      </c>
      <c r="T14" s="46">
        <f t="shared" si="3"/>
        <v>5</v>
      </c>
      <c r="U14" s="46">
        <f t="shared" si="3"/>
        <v>5</v>
      </c>
      <c r="V14" s="46">
        <f t="shared" si="3"/>
        <v>4</v>
      </c>
      <c r="W14" s="33">
        <f>COUNTIF(C14:S14,1)</f>
        <v>0</v>
      </c>
      <c r="X14" s="33">
        <f>AVERAGE(C14:S14)</f>
        <v>4.2352941176470589</v>
      </c>
      <c r="Y14" s="33">
        <f>COUNTIF(T14:V14,1)</f>
        <v>0</v>
      </c>
      <c r="Z14" s="33">
        <f>MIN(C14:V14)</f>
        <v>2</v>
      </c>
      <c r="AA14" s="47"/>
    </row>
    <row r="15" spans="1:27" ht="18" customHeight="1" x14ac:dyDescent="0.35">
      <c r="A15" s="36" t="s">
        <v>122</v>
      </c>
      <c r="B15" s="37" t="s">
        <v>123</v>
      </c>
      <c r="C15" s="46">
        <f>RANK(C7, C4:C8)</f>
        <v>1</v>
      </c>
      <c r="D15" s="46">
        <f t="shared" ref="D15:V15" si="4">RANK(D7, D4:D8)</f>
        <v>2</v>
      </c>
      <c r="E15" s="46">
        <f t="shared" si="4"/>
        <v>1</v>
      </c>
      <c r="F15" s="46">
        <f t="shared" si="4"/>
        <v>1</v>
      </c>
      <c r="G15" s="46">
        <f t="shared" si="4"/>
        <v>2</v>
      </c>
      <c r="H15" s="46">
        <f t="shared" si="4"/>
        <v>4</v>
      </c>
      <c r="I15" s="46">
        <f t="shared" si="4"/>
        <v>5</v>
      </c>
      <c r="J15" s="46">
        <f t="shared" si="4"/>
        <v>3</v>
      </c>
      <c r="K15" s="46">
        <f t="shared" si="4"/>
        <v>4</v>
      </c>
      <c r="L15" s="46">
        <f t="shared" si="4"/>
        <v>3</v>
      </c>
      <c r="M15" s="46">
        <f t="shared" si="4"/>
        <v>2</v>
      </c>
      <c r="N15" s="46">
        <f t="shared" si="4"/>
        <v>3</v>
      </c>
      <c r="O15" s="46">
        <f t="shared" si="4"/>
        <v>1</v>
      </c>
      <c r="P15" s="46">
        <f t="shared" si="4"/>
        <v>1</v>
      </c>
      <c r="Q15" s="46">
        <f t="shared" si="4"/>
        <v>1</v>
      </c>
      <c r="R15" s="46">
        <f t="shared" si="4"/>
        <v>3</v>
      </c>
      <c r="S15" s="46">
        <f t="shared" si="4"/>
        <v>1</v>
      </c>
      <c r="T15" s="46">
        <f t="shared" si="4"/>
        <v>2</v>
      </c>
      <c r="U15" s="46">
        <f t="shared" si="4"/>
        <v>2</v>
      </c>
      <c r="V15" s="46">
        <f t="shared" si="4"/>
        <v>3</v>
      </c>
      <c r="W15" s="37">
        <f>COUNTIF(C15:S15,1)</f>
        <v>7</v>
      </c>
      <c r="X15" s="37">
        <f>AVERAGE(C15:S15)</f>
        <v>2.2352941176470589</v>
      </c>
      <c r="Y15" s="37">
        <f>COUNTIF(T15:V15,1)</f>
        <v>0</v>
      </c>
      <c r="Z15" s="37">
        <f>MIN(C15:V15)</f>
        <v>1</v>
      </c>
      <c r="AA15" s="47"/>
    </row>
    <row r="16" spans="1:27" ht="18" customHeight="1" x14ac:dyDescent="0.35">
      <c r="A16" s="41" t="s">
        <v>124</v>
      </c>
      <c r="B16" s="42" t="s">
        <v>123</v>
      </c>
      <c r="C16" s="46">
        <f>RANK(C8, C4:C8)</f>
        <v>4</v>
      </c>
      <c r="D16" s="46">
        <f t="shared" ref="D16:V16" si="5">RANK(D8, D4:D8)</f>
        <v>3</v>
      </c>
      <c r="E16" s="46">
        <f t="shared" si="5"/>
        <v>4</v>
      </c>
      <c r="F16" s="46">
        <f t="shared" si="5"/>
        <v>3</v>
      </c>
      <c r="G16" s="46">
        <f t="shared" si="5"/>
        <v>3</v>
      </c>
      <c r="H16" s="46">
        <f t="shared" si="5"/>
        <v>3</v>
      </c>
      <c r="I16" s="46">
        <f t="shared" si="5"/>
        <v>2</v>
      </c>
      <c r="J16" s="46">
        <f t="shared" si="5"/>
        <v>4</v>
      </c>
      <c r="K16" s="46">
        <f t="shared" si="5"/>
        <v>3</v>
      </c>
      <c r="L16" s="46">
        <f t="shared" si="5"/>
        <v>5</v>
      </c>
      <c r="M16" s="46">
        <f t="shared" si="5"/>
        <v>3</v>
      </c>
      <c r="N16" s="46">
        <f t="shared" si="5"/>
        <v>5</v>
      </c>
      <c r="O16" s="46">
        <f t="shared" si="5"/>
        <v>4</v>
      </c>
      <c r="P16" s="46">
        <f t="shared" si="5"/>
        <v>4</v>
      </c>
      <c r="Q16" s="46">
        <f t="shared" si="5"/>
        <v>5</v>
      </c>
      <c r="R16" s="46">
        <f t="shared" si="5"/>
        <v>5</v>
      </c>
      <c r="S16" s="46">
        <f t="shared" si="5"/>
        <v>5</v>
      </c>
      <c r="T16" s="46">
        <f t="shared" si="5"/>
        <v>3</v>
      </c>
      <c r="U16" s="46">
        <f t="shared" si="5"/>
        <v>4</v>
      </c>
      <c r="V16" s="46">
        <f t="shared" si="5"/>
        <v>1</v>
      </c>
      <c r="W16" s="42">
        <f>COUNTIF(C16:S16,1)</f>
        <v>0</v>
      </c>
      <c r="X16" s="42">
        <f>AVERAGE(C16:S16)</f>
        <v>3.8235294117647061</v>
      </c>
      <c r="Y16" s="42">
        <f>COUNTIF(T16:V16,1)</f>
        <v>1</v>
      </c>
      <c r="Z16" s="42">
        <f>MIN(C16:V16)</f>
        <v>1</v>
      </c>
      <c r="AA16" s="47"/>
    </row>
    <row r="18" spans="1:27" ht="19.5" customHeight="1" x14ac:dyDescent="0.35">
      <c r="A18" s="4" t="s">
        <v>130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9.5" customHeight="1" x14ac:dyDescent="0.35">
      <c r="A19" s="45" t="s">
        <v>110</v>
      </c>
      <c r="B19" s="45" t="s">
        <v>111</v>
      </c>
      <c r="C19" s="45" t="s">
        <v>131</v>
      </c>
      <c r="D19" s="45" t="s">
        <v>132</v>
      </c>
      <c r="E19" s="45" t="s">
        <v>133</v>
      </c>
      <c r="F19" s="45" t="s">
        <v>134</v>
      </c>
      <c r="G19" s="45" t="s">
        <v>135</v>
      </c>
      <c r="H19" s="45" t="s">
        <v>136</v>
      </c>
      <c r="I19" s="45" t="s">
        <v>137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 ht="18" customHeight="1" x14ac:dyDescent="0.35">
      <c r="A20" s="22" t="s">
        <v>117</v>
      </c>
      <c r="B20" s="14" t="s">
        <v>118</v>
      </c>
      <c r="C20" s="48">
        <f>F20/12</f>
        <v>21.476666666666663</v>
      </c>
      <c r="D20" s="48">
        <f>G20/5</f>
        <v>21.731999999999999</v>
      </c>
      <c r="E20" s="49">
        <f>C20-D20</f>
        <v>-0.2553333333333363</v>
      </c>
      <c r="F20" s="48">
        <f>SUM(C4,D4,F4,H4,I4,J4,K4,L4,M4,O4,P4,S4)</f>
        <v>257.71999999999997</v>
      </c>
      <c r="G20" s="48">
        <f>SUM(E4,G4,N4,Q4,R4)</f>
        <v>108.66</v>
      </c>
      <c r="H20" s="50">
        <v>12</v>
      </c>
      <c r="I20" s="50">
        <v>5</v>
      </c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8" customHeight="1" x14ac:dyDescent="0.35">
      <c r="A21" s="27" t="s">
        <v>119</v>
      </c>
      <c r="B21" s="28" t="s">
        <v>120</v>
      </c>
      <c r="C21" s="51">
        <f>F21/12</f>
        <v>11.658333333333333</v>
      </c>
      <c r="D21" s="51">
        <f>G21/5</f>
        <v>9.06</v>
      </c>
      <c r="E21" s="49">
        <f>C21-D21</f>
        <v>2.5983333333333327</v>
      </c>
      <c r="F21" s="51">
        <f>SUM(C5,D5,F5,H5,I5,J5,K5,L5,M5,O5,P5,S5)</f>
        <v>139.9</v>
      </c>
      <c r="G21" s="51">
        <f>SUM(E5,G5,N5,Q5,R5)</f>
        <v>45.300000000000004</v>
      </c>
      <c r="H21" s="52">
        <v>12</v>
      </c>
      <c r="I21" s="52">
        <v>5</v>
      </c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27" ht="18" customHeight="1" x14ac:dyDescent="0.35">
      <c r="A22" s="32" t="s">
        <v>121</v>
      </c>
      <c r="B22" s="33" t="s">
        <v>120</v>
      </c>
      <c r="C22" s="53">
        <f>F22/12</f>
        <v>4.9833333333333334</v>
      </c>
      <c r="D22" s="53">
        <f>G22/5</f>
        <v>6.88</v>
      </c>
      <c r="E22" s="49">
        <f>C22-D22</f>
        <v>-1.8966666666666665</v>
      </c>
      <c r="F22" s="53">
        <f>SUM(C6,D6,F6,H6,I6,J6,K6,L6,M6,O6,P6,S6)</f>
        <v>59.8</v>
      </c>
      <c r="G22" s="53">
        <f>SUM(E6,G6,N6,Q6,R6)</f>
        <v>34.4</v>
      </c>
      <c r="H22" s="54">
        <v>12</v>
      </c>
      <c r="I22" s="54">
        <v>5</v>
      </c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8" customHeight="1" x14ac:dyDescent="0.35">
      <c r="A23" s="36" t="s">
        <v>122</v>
      </c>
      <c r="B23" s="37" t="s">
        <v>123</v>
      </c>
      <c r="C23" s="55">
        <f>F23/12</f>
        <v>29.7</v>
      </c>
      <c r="D23" s="55">
        <f>G23/5</f>
        <v>19.62</v>
      </c>
      <c r="E23" s="49">
        <f>C23-D23</f>
        <v>10.079999999999998</v>
      </c>
      <c r="F23" s="55">
        <f>SUM(C7,D7,F7,H7,I7,J7,K7,L7,M7,O7,P7,S7)</f>
        <v>356.4</v>
      </c>
      <c r="G23" s="55">
        <f>SUM(E7,G7,N7,Q7,R7)</f>
        <v>98.100000000000009</v>
      </c>
      <c r="H23" s="56">
        <v>12</v>
      </c>
      <c r="I23" s="56">
        <v>5</v>
      </c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ht="18" customHeight="1" x14ac:dyDescent="0.35">
      <c r="A24" s="41" t="s">
        <v>124</v>
      </c>
      <c r="B24" s="42" t="s">
        <v>123</v>
      </c>
      <c r="C24" s="57">
        <f>F24/12</f>
        <v>8.8916666666666675</v>
      </c>
      <c r="D24" s="57">
        <f>G24/5</f>
        <v>6.44</v>
      </c>
      <c r="E24" s="49">
        <f>C24-D24</f>
        <v>2.4516666666666671</v>
      </c>
      <c r="F24" s="57">
        <f>SUM(C8,D8,F8,H8,I8,J8,K8,L8,M8,O8,P8,S8)</f>
        <v>106.70000000000002</v>
      </c>
      <c r="G24" s="57">
        <f>SUM(E8,G8,N8,Q8,R8)</f>
        <v>32.200000000000003</v>
      </c>
      <c r="H24" s="58">
        <v>12</v>
      </c>
      <c r="I24" s="58">
        <v>5</v>
      </c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6" spans="1:27" ht="19.5" customHeight="1" x14ac:dyDescent="0.35">
      <c r="A26" s="4" t="s">
        <v>138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9.5" customHeight="1" x14ac:dyDescent="0.35">
      <c r="A27" s="45" t="s">
        <v>110</v>
      </c>
      <c r="B27" s="45" t="s">
        <v>111</v>
      </c>
      <c r="C27" s="45" t="s">
        <v>139</v>
      </c>
      <c r="D27" s="45" t="s">
        <v>140</v>
      </c>
      <c r="E27" s="45" t="s">
        <v>141</v>
      </c>
      <c r="F27" s="45" t="s">
        <v>142</v>
      </c>
      <c r="G27" s="45" t="s">
        <v>143</v>
      </c>
      <c r="H27" s="45" t="s">
        <v>144</v>
      </c>
      <c r="I27" s="45" t="s">
        <v>145</v>
      </c>
      <c r="J27" s="45" t="s">
        <v>146</v>
      </c>
      <c r="K27" s="45" t="s">
        <v>147</v>
      </c>
      <c r="L27" s="45" t="s">
        <v>148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 ht="18" customHeight="1" x14ac:dyDescent="0.35">
      <c r="A28" s="22" t="s">
        <v>117</v>
      </c>
      <c r="B28" s="14" t="s">
        <v>118</v>
      </c>
      <c r="C28">
        <f>MAX(C4:V4)</f>
        <v>30.880000000000003</v>
      </c>
      <c r="D28" t="str">
        <f>INDEX(C3:V3,MATCH(MAX(C4:V4),C4:V4,0))</f>
        <v>W16</v>
      </c>
      <c r="E28" t="str">
        <f>INDEX('QB - Stafford'!C:C,MATCH(INDEX(C3:V3,MATCH(MAX(C4:V4),C4:V4,0)),'QB - Stafford'!A:A,0))</f>
        <v>A SEA</v>
      </c>
      <c r="F28" cm="1">
        <f t="array" ref="F28">MIN(IF(C4:V4&gt;0,C4:V4))</f>
        <v>10.220000000000001</v>
      </c>
      <c r="G28" t="str" cm="1">
        <f t="array" ref="G28">INDEX(C3:V3,MATCH(MIN(IF(C4:V4&gt;0,C4:V4)),C4:V4,0))</f>
        <v>PO2</v>
      </c>
      <c r="H28" t="str" cm="1">
        <f t="array" ref="H28">INDEX('QB - Stafford'!C:C,MATCH(INDEX(C3:V3,MATCH(MIN(IF(C4:V4&gt;0,C4:V4)),C4:V4,0)),'QB - Stafford'!A:A,0))</f>
        <v>A CHI</v>
      </c>
      <c r="I28" cm="1">
        <f t="array" ref="I28">MEDIAN(IF(C4:V4&gt;0,C4:V4))</f>
        <v>23.080000000000002</v>
      </c>
      <c r="J28" cm="1">
        <f t="array" ref="J28">STDEV(IF(C4:V4&gt;0,C4:V4))</f>
        <v>6.4544724599956185</v>
      </c>
      <c r="K28">
        <f>COUNTIF(C4:V4,"&gt;=20")</f>
        <v>12</v>
      </c>
      <c r="L28">
        <f>COUNTIF(C4:V4,"&gt;=30")</f>
        <v>1</v>
      </c>
    </row>
    <row r="29" spans="1:27" ht="18" customHeight="1" x14ac:dyDescent="0.35">
      <c r="A29" s="27" t="s">
        <v>119</v>
      </c>
      <c r="B29" s="28" t="s">
        <v>120</v>
      </c>
      <c r="C29">
        <f>MAX(C5:V5)</f>
        <v>20.700000000000003</v>
      </c>
      <c r="D29" t="str">
        <f>INDEX(C3:V3,MATCH(MAX(C5:V5),C5:V5,0))</f>
        <v>PO2</v>
      </c>
      <c r="E29" t="str">
        <f>INDEX('RB - K.Williams'!C:C,MATCH(INDEX(C3:V3,MATCH(MAX(C5:V5),C5:V5,0)),'RB - K.Williams'!A:A,0))</f>
        <v>A CHI</v>
      </c>
      <c r="F29" cm="1">
        <f t="array" ref="F29">MIN(IF(C5:V5&gt;0,C5:V5))</f>
        <v>3.9000000000000004</v>
      </c>
      <c r="G29" t="str" cm="1">
        <f t="array" ref="G29">INDEX(C3:V3,MATCH(MIN(IF(C5:V5&gt;0,C5:V5)),C5:V5,0))</f>
        <v>PO3</v>
      </c>
      <c r="H29" t="str" cm="1">
        <f t="array" ref="H29">INDEX('RB - K.Williams'!C:C,MATCH(INDEX(C3:V3,MATCH(MIN(IF(C5:V5&gt;0,C5:V5)),C5:V5,0)),'RB - K.Williams'!A:A,0))</f>
        <v>A SEA</v>
      </c>
      <c r="I29" cm="1">
        <f t="array" ref="I29">MEDIAN(IF(C5:V5&gt;0,C5:V5))</f>
        <v>9.3000000000000007</v>
      </c>
      <c r="J29" cm="1">
        <f t="array" ref="J29">STDEV(IF(C5:V5&gt;0,C5:V5))</f>
        <v>5.4495654100024131</v>
      </c>
      <c r="K29">
        <f>COUNTIF(C5:V5,"&gt;=20")</f>
        <v>1</v>
      </c>
      <c r="L29">
        <f>COUNTIF(C5:V5,"&gt;=30")</f>
        <v>0</v>
      </c>
    </row>
    <row r="30" spans="1:27" ht="18" customHeight="1" x14ac:dyDescent="0.35">
      <c r="A30" s="32" t="s">
        <v>121</v>
      </c>
      <c r="B30" s="33" t="s">
        <v>120</v>
      </c>
      <c r="C30">
        <f>MAX(C6:V6)</f>
        <v>14.1</v>
      </c>
      <c r="D30" t="str">
        <f>INDEX(C3:V3,MATCH(MAX(C6:V6),C6:V6,0))</f>
        <v>W13</v>
      </c>
      <c r="E30" t="str">
        <f>INDEX('RB - B.Corum'!C:C,MATCH(INDEX(C3:V3,MATCH(MAX(C6:V6),C6:V6,0)),'RB - B.Corum'!A:A,0))</f>
        <v>A CAR</v>
      </c>
      <c r="F30" cm="1">
        <f t="array" ref="F30">MIN(IF(C6:V6&gt;0,C6:V6))</f>
        <v>0.2</v>
      </c>
      <c r="G30" t="str" cm="1">
        <f t="array" ref="G30">INDEX(C3:V3,MATCH(MIN(IF(C6:V6&gt;0,C6:V6)),C6:V6,0))</f>
        <v>W1</v>
      </c>
      <c r="H30" t="str" cm="1">
        <f t="array" ref="H30">INDEX('RB - B.Corum'!C:C,MATCH(INDEX(C3:V3,MATCH(MIN(IF(C6:V6&gt;0,C6:V6)),C6:V6,0)),'RB - B.Corum'!A:A,0))</f>
        <v>H HOU</v>
      </c>
      <c r="I30" cm="1">
        <f t="array" ref="I30">MEDIAN(IF(C6:V6&gt;0,C6:V6))</f>
        <v>4.5500000000000007</v>
      </c>
      <c r="J30" cm="1">
        <f t="array" ref="J30">STDEV(IF(C6:V6&gt;0,C6:V6))</f>
        <v>3.7932731318258086</v>
      </c>
      <c r="K30">
        <f>COUNTIF(C6:V6,"&gt;=20")</f>
        <v>0</v>
      </c>
      <c r="L30">
        <f>COUNTIF(C6:V6,"&gt;=30")</f>
        <v>0</v>
      </c>
    </row>
    <row r="31" spans="1:27" ht="18" customHeight="1" x14ac:dyDescent="0.35">
      <c r="A31" s="36" t="s">
        <v>122</v>
      </c>
      <c r="B31" s="37" t="s">
        <v>123</v>
      </c>
      <c r="C31">
        <f>MAX(C7:V7)</f>
        <v>120</v>
      </c>
      <c r="D31" t="str">
        <f>INDEX(C3:V3,MATCH(MAX(C7:V7),C7:V7,0))</f>
        <v>W4</v>
      </c>
      <c r="E31" t="str">
        <f>INDEX('WR - P.Nacua'!C:C,MATCH(INDEX(C3:V3,MATCH(MAX(C7:V7),C7:V7,0)),'WR - P.Nacua'!A:A,0))</f>
        <v>H IND</v>
      </c>
      <c r="F31" cm="1">
        <f t="array" ref="F31">MIN(IF(C7:V7&gt;0,C7:V7))</f>
        <v>4.8000000000000007</v>
      </c>
      <c r="G31" t="str" cm="1">
        <f t="array" ref="G31">INDEX(C3:V3,MATCH(MIN(IF(C7:V7&gt;0,C7:V7)),C7:V7,0))</f>
        <v>W6</v>
      </c>
      <c r="H31" t="str" cm="1">
        <f t="array" ref="H31">INDEX('WR - P.Nacua'!C:C,MATCH(INDEX(C3:V3,MATCH(MIN(IF(C7:V7&gt;0,C7:V7)),C7:V7,0)),'WR - P.Nacua'!A:A,0))</f>
        <v>A BAL</v>
      </c>
      <c r="I31" cm="1">
        <f t="array" ref="I31">MEDIAN(IF(C7:V7&gt;0,C7:V7))</f>
        <v>18.5</v>
      </c>
      <c r="J31" cm="1">
        <f t="array" ref="J31">STDEV(IF(C7:V7&gt;0,C7:V7))</f>
        <v>27.975645214117915</v>
      </c>
      <c r="K31">
        <f>COUNTIF(C7:V7,"&gt;=20")</f>
        <v>9</v>
      </c>
      <c r="L31">
        <f>COUNTIF(C7:V7,"&gt;=30")</f>
        <v>3</v>
      </c>
    </row>
    <row r="32" spans="1:27" ht="18" customHeight="1" x14ac:dyDescent="0.35">
      <c r="A32" s="41" t="s">
        <v>124</v>
      </c>
      <c r="B32" s="42" t="s">
        <v>123</v>
      </c>
      <c r="C32">
        <f>MAX(C8:V8)</f>
        <v>48.9</v>
      </c>
      <c r="D32" t="str">
        <f>INDEX(C3:V3,MATCH(MAX(C8:V8),C8:V8,0))</f>
        <v>PO3</v>
      </c>
      <c r="E32" t="str">
        <f>INDEX('WR - D.Adams'!C:C,MATCH(INDEX(C3:V3,MATCH(MAX(C8:V8),C8:V8,0)),'WR - D.Adams'!A:A,0))</f>
        <v>A SEA</v>
      </c>
      <c r="F32" cm="1">
        <f t="array" ref="F32">MIN(IF(C8:V8&gt;0,C8:V8))</f>
        <v>1.1000000000000001</v>
      </c>
      <c r="G32" t="str" cm="1">
        <f t="array" ref="G32">INDEX(C3:V3,MATCH(MIN(IF(C8:V8&gt;0,C8:V8)),C8:V8,0))</f>
        <v>W11</v>
      </c>
      <c r="H32" t="str" cm="1">
        <f t="array" ref="H32">INDEX('WR - D.Adams'!C:C,MATCH(INDEX(C3:V3,MATCH(MIN(IF(C8:V8&gt;0,C8:V8)),C8:V8,0)),'WR - D.Adams'!A:A,0))</f>
        <v>H SEA</v>
      </c>
      <c r="I32" cm="1">
        <f t="array" ref="I32">MEDIAN(IF(C8:V8&gt;0,C8:V8))</f>
        <v>9.8000000000000007</v>
      </c>
      <c r="J32" cm="1">
        <f t="array" ref="J32">STDEV(IF(C8:V8&gt;0,C8:V8))</f>
        <v>10.16609127269207</v>
      </c>
      <c r="K32">
        <f>COUNTIF(C8:V8,"&gt;=20")</f>
        <v>1</v>
      </c>
      <c r="L32">
        <f>COUNTIF(C8:V8,"&gt;=30")</f>
        <v>1</v>
      </c>
    </row>
  </sheetData>
  <mergeCells count="5">
    <mergeCell ref="A1:AA1"/>
    <mergeCell ref="A2:AA2"/>
    <mergeCell ref="A10:AA10"/>
    <mergeCell ref="A18:AA18"/>
    <mergeCell ref="A26:AA2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QB - Stafford</vt:lpstr>
      <vt:lpstr>RB - K.Williams</vt:lpstr>
      <vt:lpstr>RB - B.Corum</vt:lpstr>
      <vt:lpstr>WR - P.Nacua</vt:lpstr>
      <vt:lpstr>WR - D.Adams</vt:lpstr>
      <vt:lpstr>Aggregate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Parakala, Sravan Madhav</cp:lastModifiedBy>
  <cp:revision>0</cp:revision>
  <dcterms:created xsi:type="dcterms:W3CDTF">2026-06-16T18:44:59Z</dcterms:created>
  <dcterms:modified xsi:type="dcterms:W3CDTF">2026-06-16T19:37:47Z</dcterms:modified>
  <dc:language>en-US</dc:language>
</cp:coreProperties>
</file>