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Model" sheetId="2" state="visible" r:id="rId4"/>
    <sheet name="Product Lookup" sheetId="3" state="visible" r:id="rId5"/>
    <sheet name="Statistical Analysis" sheetId="4" state="visible" r:id="rId6"/>
    <sheet name="DCF Valuation" sheetId="5" state="visible" r:id="rId7"/>
    <sheet name="Formula Inde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<sst xmlns="http://schemas.openxmlformats.org/spreadsheetml/2006/main" count="316" uniqueCount="252">
  <si>
    <t xml:space="preserve">📋  Model Assumptions — Edit Blue Cells</t>
  </si>
  <si>
    <t xml:space="preserve">REVENUE ASSUMPTIONS</t>
  </si>
  <si>
    <t xml:space="preserve">Parameter</t>
  </si>
  <si>
    <t xml:space="preserve">Value</t>
  </si>
  <si>
    <t xml:space="preserve">Unit</t>
  </si>
  <si>
    <t xml:space="preserve">Notes</t>
  </si>
  <si>
    <t xml:space="preserve">Base Revenue (Year 1)</t>
  </si>
  <si>
    <t xml:space="preserve">$</t>
  </si>
  <si>
    <t xml:space="preserve">Starting revenue</t>
  </si>
  <si>
    <t xml:space="preserve">Annual Growth Rate</t>
  </si>
  <si>
    <t xml:space="preserve">%</t>
  </si>
  <si>
    <t xml:space="preserve">YoY growth assumption</t>
  </si>
  <si>
    <t xml:space="preserve">Gross Margin</t>
  </si>
  <si>
    <t xml:space="preserve">% of revenue</t>
  </si>
  <si>
    <t xml:space="preserve">OpEx % Revenue</t>
  </si>
  <si>
    <t xml:space="preserve">Operating expenses</t>
  </si>
  <si>
    <t xml:space="preserve">Tax Rate</t>
  </si>
  <si>
    <t xml:space="preserve">Effective tax rate</t>
  </si>
  <si>
    <t xml:space="preserve">Discount Rate</t>
  </si>
  <si>
    <t xml:space="preserve">WACC for NPV</t>
  </si>
  <si>
    <t xml:space="preserve">Inflation Rate</t>
  </si>
  <si>
    <t xml:space="preserve">CPI assumption</t>
  </si>
  <si>
    <t xml:space="preserve">SCENARIO SELECTOR</t>
  </si>
  <si>
    <t xml:space="preserve">Selected Scenario</t>
  </si>
  <si>
    <t xml:space="preserve">1-3</t>
  </si>
  <si>
    <t xml:space="preserve">1=Bear  2=Base  3=Bull</t>
  </si>
  <si>
    <t xml:space="preserve">Bear Growth Rate</t>
  </si>
  <si>
    <t xml:space="preserve">Pessimistic case</t>
  </si>
  <si>
    <t xml:space="preserve">Base Growth Rate</t>
  </si>
  <si>
    <t xml:space="preserve">Central case</t>
  </si>
  <si>
    <t xml:space="preserve">Bull Growth Rate</t>
  </si>
  <si>
    <t xml:space="preserve">Optimistic case</t>
  </si>
  <si>
    <t xml:space="preserve">Active Growth Rate</t>
  </si>
  <si>
    <t xml:space="preserve">CHOOSE picks scenario growth rate</t>
  </si>
  <si>
    <t xml:space="preserve">📊  5-Year Revenue &amp; Profit Model</t>
  </si>
  <si>
    <t xml:space="preserve">PROJECTED YEARS  ($ thousands)</t>
  </si>
  <si>
    <t xml:space="preserve">Line Item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</si>
  <si>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</si>
  <si>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</si>
  <si>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</si>
  <si>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</si>
  <si>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</si>
  <si>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Revenue ($000s)</t>
  </si>
  <si>
    <t xml:space="preserve">YoY Growth %</t>
  </si>
  <si>
    <t xml:space="preserve">Gross Profit</t>
  </si>
  <si>
    <t xml:space="preserve">Gross Margin %</t>
  </si>
  <si>
    <t xml:space="preserve">Operating Expenses</t>
  </si>
  <si>
    <t xml:space="preserve">EBIT</t>
  </si>
  <si>
    <t xml:space="preserve">EBIT Margin %</t>
  </si>
  <si>
    <t xml:space="preserve">Tax Expense</t>
  </si>
  <si>
    <t xml:space="preserve">Net Income</t>
  </si>
  <si>
    <t xml:space="preserve">Net Margin %</t>
  </si>
  <si>
    <t xml:space="preserve">SUMMARY STATISTICS</t>
  </si>
  <si>
    <t xml:space="preserve">Metric</t>
  </si>
  <si>
    <t xml:space="preserve">Formula Used</t>
  </si>
  <si>
    <t xml:space="preserve">Total 5-Yr Revenue</t>
  </si>
  <si>
    <t xml:space="preserve">SUM</t>
  </si>
  <si>
    <t xml:space="preserve">Avg Annual Revenue</t>
  </si>
  <si>
    <t xml:space="preserve">AVERAGE</t>
  </si>
  <si>
    <t xml:space="preserve">Avg Net Margin</t>
  </si>
  <si>
    <t xml:space="preserve">AVERAGE+IFERROR</t>
  </si>
  <si>
    <t xml:space="preserve">NPV of Net Income</t>
  </si>
  <si>
    <t xml:space="preserve">NPV</t>
  </si>
  <si>
    <t xml:space="preserve">Max Revenue Year</t>
  </si>
  <si>
    <t xml:space="preserve">INDEX+MATCH+TEXT</t>
  </si>
  <si>
    <t xml:space="preserve">Revenue CAGR</t>
  </si>
  <si>
    <t xml:space="preserve">Math</t>
  </si>
  <si>
    <t xml:space="preserve">Total Net Income</t>
  </si>
  <si>
    <t xml:space="preserve">🔍  Product Lookup — VLOOKUP / INDEX-MATCH / SUMPRODUCT</t>
  </si>
  <si>
    <t xml:space="preserve">PRODUCT MASTER TABLE</t>
  </si>
  <si>
    <t xml:space="preserve">DYNAMIC LOOKUP PANEL</t>
  </si>
  <si>
    <t xml:space="preserve">Product ID</t>
  </si>
  <si>
    <t xml:space="preserve">Product Name</t>
  </si>
  <si>
    <t xml:space="preserve">Category</t>
  </si>
  <si>
    <t xml:space="preserve">Unit Price</t>
  </si>
  <si>
    <t xml:space="preserve">Units Sold</t>
  </si>
  <si>
    <t xml:space="preserve">Revenue</t>
  </si>
  <si>
    <t xml:space="preserve">Field</t>
  </si>
  <si>
    <t xml:space="preserve">Result</t>
  </si>
  <si>
    <t xml:space="preserve">Formula</t>
  </si>
  <si>
    <t xml:space="preserve">P001</t>
  </si>
  <si>
    <t xml:space="preserve">Alpha Widget</t>
  </si>
  <si>
    <t xml:space="preserve">Hardware</t>
  </si>
  <si>
    <t xml:space="preserve">Lookup Product ID</t>
  </si>
  <si>
    <t xml:space="preserve">P003</t>
  </si>
  <si>
    <t xml:space="preserve">Input (Blue)</t>
  </si>
  <si>
    <t xml:space="preserve">P002</t>
  </si>
  <si>
    <t xml:space="preserve">Beta Service</t>
  </si>
  <si>
    <t xml:space="preserve">Software</t>
  </si>
  <si>
    <t xml:space="preserve">Product Name (VLOOKUP)</t>
  </si>
  <si>
    <t xml:space="preserve">VLOOKUP col 2</t>
  </si>
  <si>
    <t xml:space="preserve">Gamma Suite</t>
  </si>
  <si>
    <t xml:space="preserve">Unit Price (INDEX/MATCH)</t>
  </si>
  <si>
    <t xml:space="preserve">INDEX+MATCH</t>
  </si>
  <si>
    <t xml:space="preserve">P004</t>
  </si>
  <si>
    <t xml:space="preserve">Delta Device</t>
  </si>
  <si>
    <t xml:space="preserve">P005</t>
  </si>
  <si>
    <t xml:space="preserve">Epsilon Pack</t>
  </si>
  <si>
    <t xml:space="preserve">Accessory</t>
  </si>
  <si>
    <t xml:space="preserve">P006</t>
  </si>
  <si>
    <t xml:space="preserve">Zeta Module</t>
  </si>
  <si>
    <t xml:space="preserve">VLOOKUP col 3</t>
  </si>
  <si>
    <t xml:space="preserve">P007</t>
  </si>
  <si>
    <t xml:space="preserve">Eta License</t>
  </si>
  <si>
    <t xml:space="preserve">ID Found?</t>
  </si>
  <si>
    <t xml:space="preserve">ISNUMBER+MATCH</t>
  </si>
  <si>
    <t xml:space="preserve">P008</t>
  </si>
  <si>
    <t xml:space="preserve">Theta Kit</t>
  </si>
  <si>
    <t xml:space="preserve">TOTALS</t>
  </si>
  <si>
    <t xml:space="preserve">SUMPRODUCT ANALYTICS</t>
  </si>
  <si>
    <t xml:space="preserve">SW Revenue (SUMPRODUCT)</t>
  </si>
  <si>
    <t xml:space="preserve">Sum revenue where category=Software</t>
  </si>
  <si>
    <t xml:space="preserve">HW Revenue (SUMPRODUCT)</t>
  </si>
  <si>
    <t xml:space="preserve">Sum revenue where category=Hardware</t>
  </si>
  <si>
    <t xml:space="preserve">Accessory Revenue</t>
  </si>
  <si>
    <t xml:space="preserve">Sum revenue where category=Accessory</t>
  </si>
  <si>
    <t xml:space="preserve">Weighted Avg Price</t>
  </si>
  <si>
    <t xml:space="preserve">SUMPRODUCT / SUM</t>
  </si>
  <si>
    <t xml:space="preserve">Products &gt; $200 price</t>
  </si>
  <si>
    <t xml:space="preserve">Count where price&gt;200</t>
  </si>
  <si>
    <t xml:space="preserve">ROW-based running idx</t>
  </si>
  <si>
    <t xml:space="preserve">ROW inside SUMPRODUCT</t>
  </si>
  <si>
    <t xml:space="preserve">📈  Statistical Analysis — NORMDIST, OFFSET, AVERAGE, SUMPRODUCT</t>
  </si>
  <si>
    <t xml:space="preserve">MONTHLY SALES DATA</t>
  </si>
  <si>
    <t xml:space="preserve">DESCRIPTIVE STATISTICS</t>
  </si>
  <si>
    <t xml:space="preserve">Month</t>
  </si>
  <si>
    <t xml:space="preserve">Sales ($000)</t>
  </si>
  <si>
    <t xml:space="preserve">Row Index</t>
  </si>
  <si>
    <t xml:space="preserve">Statistic</t>
  </si>
  <si>
    <t xml:space="preserve">Jan</t>
  </si>
  <si>
    <t xml:space="preserve">Mean</t>
  </si>
  <si>
    <t xml:space="preserve">Feb</t>
  </si>
  <si>
    <t xml:space="preserve">Std Dev</t>
  </si>
  <si>
    <t xml:space="preserve">SUMPRODUCT variance</t>
  </si>
  <si>
    <t xml:space="preserve">Mar</t>
  </si>
  <si>
    <t xml:space="preserve">Min</t>
  </si>
  <si>
    <t xml:space="preserve">MIN</t>
  </si>
  <si>
    <t xml:space="preserve">Apr</t>
  </si>
  <si>
    <t xml:space="preserve">Max</t>
  </si>
  <si>
    <t xml:space="preserve">MAX</t>
  </si>
  <si>
    <t xml:space="preserve">May</t>
  </si>
  <si>
    <t xml:space="preserve">Count</t>
  </si>
  <si>
    <t xml:space="preserve">COUNT</t>
  </si>
  <si>
    <t xml:space="preserve">Jun</t>
  </si>
  <si>
    <t xml:space="preserve">Q2 Sales (OFFSET)</t>
  </si>
  <si>
    <t xml:space="preserve">OFFSET</t>
  </si>
  <si>
    <t xml:space="preserve">Jul</t>
  </si>
  <si>
    <t xml:space="preserve">Q4 Sales (OFFSET)</t>
  </si>
  <si>
    <t xml:space="preserve">Aug</t>
  </si>
  <si>
    <t xml:space="preserve">3-Mo Moving Avg</t>
  </si>
  <si>
    <t xml:space="preserve">OFFSET trailing</t>
  </si>
  <si>
    <t xml:space="preserve">Sep</t>
  </si>
  <si>
    <t xml:space="preserve">Oct</t>
  </si>
  <si>
    <t xml:space="preserve">NORMAL DISTRIBUTION TABLE</t>
  </si>
  <si>
    <t xml:space="preserve">Nov</t>
  </si>
  <si>
    <t xml:space="preserve">Sales Value</t>
  </si>
  <si>
    <t xml:space="preserve">Z-Score</t>
  </si>
  <si>
    <t xml:space="preserve">CDF (NORMDIST)</t>
  </si>
  <si>
    <t xml:space="preserve">Above Mean?</t>
  </si>
  <si>
    <t xml:space="preserve">Dec</t>
  </si>
  <si>
    <t xml:space="preserve">💰  DCF Valuation — NPV, IF, AND, IFERROR, TEXT</t>
  </si>
  <si>
    <t xml:space="preserve">DISCOUNTED CASH FLOW MODEL</t>
  </si>
  <si>
    <t xml:space="preserve">Item</t>
  </si>
  <si>
    <t xml:space="preserve">Year 1</t>
  </si>
  <si>
    <t xml:space="preserve">Year 2</t>
  </si>
  <si>
    <t xml:space="preserve">Year 3</t>
  </si>
  <si>
    <t xml:space="preserve">Year 4</t>
  </si>
  <si>
    <t xml:space="preserve">Net Income ($000s)</t>
  </si>
  <si>
    <t xml:space="preserve">D&amp;A (2% Rev)</t>
  </si>
  <si>
    <t xml:space="preserve">Capex (5% Rev)</t>
  </si>
  <si>
    <t xml:space="preserve">Free Cash Flow</t>
  </si>
  <si>
    <t xml:space="preserve">Discount Factor</t>
  </si>
  <si>
    <t xml:space="preserve">PV of FCF</t>
  </si>
  <si>
    <t xml:space="preserve">VALUATION SUMMARY</t>
  </si>
  <si>
    <t xml:space="preserve">Sum of PV FCFs</t>
  </si>
  <si>
    <t xml:space="preserve">NPV (Excel NPV fn)</t>
  </si>
  <si>
    <t xml:space="preserve">Terminal Value</t>
  </si>
  <si>
    <t xml:space="preserve">Gordon Growth</t>
  </si>
  <si>
    <t xml:space="preserve">PV Terminal Value</t>
  </si>
  <si>
    <t xml:space="preserve">Enterprise Value</t>
  </si>
  <si>
    <t xml:space="preserve">Sum</t>
  </si>
  <si>
    <t xml:space="preserve">Signal</t>
  </si>
  <si>
    <t xml:space="preserve">IF+AND+nested</t>
  </si>
  <si>
    <t xml:space="preserve">NPV as TEXT</t>
  </si>
  <si>
    <t xml:space="preserve">TEXT</t>
  </si>
  <si>
    <t xml:space="preserve">📚  Formula Reference — All Functions Used in This Workbook</t>
  </si>
  <si>
    <t xml:space="preserve">COMPLETE FORMULA REFERENCE</t>
  </si>
  <si>
    <t xml:space="preserve">Function</t>
  </si>
  <si>
    <t xml:space="preserve">Sheet(s) Used</t>
  </si>
  <si>
    <t xml:space="preserve">Purpose</t>
  </si>
  <si>
    <t xml:space="preserve">Example</t>
  </si>
  <si>
    <t xml:space="preserve">IF</t>
  </si>
  <si>
    <t xml:space="preserve">Logical</t>
  </si>
  <si>
    <t xml:space="preserve">All</t>
  </si>
  <si>
    <t xml:space="preserve">Conditional branching</t>
  </si>
  <si>
    <t xml:space="preserve">'=IF(A1&gt;0,"Pos","Neg")</t>
  </si>
  <si>
    <t xml:space="preserve">IFERROR</t>
  </si>
  <si>
    <t xml:space="preserve">Suppress errors gracefully</t>
  </si>
  <si>
    <t xml:space="preserve">'=IFERROR(1/0,"Err")</t>
  </si>
  <si>
    <t xml:space="preserve">ISNUMBER</t>
  </si>
  <si>
    <t xml:space="preserve">Information</t>
  </si>
  <si>
    <t xml:space="preserve">Product Lookup</t>
  </si>
  <si>
    <t xml:space="preserve">Check if value is numeric</t>
  </si>
  <si>
    <t xml:space="preserve">'=ISNUMBER(MATCH(...))</t>
  </si>
  <si>
    <t xml:space="preserve">AND</t>
  </si>
  <si>
    <t xml:space="preserve">DCF Valuation</t>
  </si>
  <si>
    <t xml:space="preserve">All conditions must be true</t>
  </si>
  <si>
    <t xml:space="preserve">'=AND(A1&gt;0,B1&gt;0)</t>
  </si>
  <si>
    <t xml:space="preserve">Revenue Model</t>
  </si>
  <si>
    <t xml:space="preserve">Sum a range</t>
  </si>
  <si>
    <t xml:space="preserve">'=SUM(B5:F5)</t>
  </si>
  <si>
    <t xml:space="preserve">Statistical</t>
  </si>
  <si>
    <t xml:space="preserve">Revenue, Stats</t>
  </si>
  <si>
    <t xml:space="preserve">Mean of range</t>
  </si>
  <si>
    <t xml:space="preserve">'=AVERAGE(B5:B16)</t>
  </si>
  <si>
    <t xml:space="preserve">SUMPRODUCT</t>
  </si>
  <si>
    <t xml:space="preserve">Array multiply then sum</t>
  </si>
  <si>
    <t xml:space="preserve">'=SUMPRODUCT(D5:D12,E5:E12)</t>
  </si>
  <si>
    <t xml:space="preserve">Financial</t>
  </si>
  <si>
    <t xml:space="preserve">Net present value of cash flows</t>
  </si>
  <si>
    <t xml:space="preserve">'=NPV(rate,C9:E9)+B9</t>
  </si>
  <si>
    <t xml:space="preserve">CHOOSE</t>
  </si>
  <si>
    <t xml:space="preserve">Lookup</t>
  </si>
  <si>
    <t xml:space="preserve">Assumptions</t>
  </si>
  <si>
    <t xml:space="preserve">Return nth item from list</t>
  </si>
  <si>
    <t xml:space="preserve">'=CHOOSE(2,"Bear","Base","Bull")</t>
  </si>
  <si>
    <t xml:space="preserve">MATCH</t>
  </si>
  <si>
    <t xml:space="preserve">Revenue, Lookup</t>
  </si>
  <si>
    <t xml:space="preserve">Position of value in range</t>
  </si>
  <si>
    <t xml:space="preserve">'=MATCH("P001",A5:A12,0)</t>
  </si>
  <si>
    <t xml:space="preserve">INDEX</t>
  </si>
  <si>
    <t xml:space="preserve">Value at row/col intersection</t>
  </si>
  <si>
    <t xml:space="preserve">'=INDEX(D5:D12,3)</t>
  </si>
  <si>
    <t xml:space="preserve">VLOOKUP</t>
  </si>
  <si>
    <t xml:space="preserve">Vertical table lookup</t>
  </si>
  <si>
    <t xml:space="preserve">'=VLOOKUP(id,table,2,0)</t>
  </si>
  <si>
    <t xml:space="preserve">Return range offset from cell</t>
  </si>
  <si>
    <t xml:space="preserve">'=OFFSET(B5,9,0,3,1)</t>
  </si>
  <si>
    <t xml:space="preserve">ROW</t>
  </si>
  <si>
    <t xml:space="preserve">Row number of a cell</t>
  </si>
  <si>
    <t xml:space="preserve">'=ROW()-ROW($A$1)+1</t>
  </si>
  <si>
    <t xml:space="preserve">Text</t>
  </si>
  <si>
    <t xml:space="preserve">Revenue, DCF</t>
  </si>
  <si>
    <t xml:space="preserve">Format number as text</t>
  </si>
  <si>
    <t xml:space="preserve">'=TEXT(B1,"$#,##0")</t>
  </si>
  <si>
    <t xml:space="preserve">NORMDIST</t>
  </si>
  <si>
    <t xml:space="preserve">Normal distribution CDF/PDF</t>
  </si>
  <si>
    <t xml:space="preserve">'=NORMDIST(x,mean,sd,TRUE())</t>
  </si>
  <si>
    <t xml:space="preserve">NA</t>
  </si>
  <si>
    <t xml:space="preserve">Revenue, Statistical</t>
  </si>
  <si>
    <t xml:space="preserve">Returns the N/A error intentionally</t>
  </si>
  <si>
    <t xml:space="preserve">'=NA()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</si>
</sst>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%"/>
    <numFmt numFmtId="167" formatCode="0"/>
    <numFmt numFmtId="168" formatCode="\$#,##0;&quot;($&quot;#,##0\);\-"/>
    <numFmt numFmtId="169" formatCode="0.0%;\(0.0%\);\-"/>
    <numFmt numFmtId="170" formatCode="\$#,##0.00"/>
    <numFmt numFmtId="171" formatCode="#,##0"/>
    <numFmt numFmtId="172" formatCode="#,##0.0"/>
    <numFmt numFmtId="173" formatCode="0.00"/>
    <numFmt numFmtId="174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472C4"/>
      </left>
      <right/>
      <top style="medium">
        <color rgb="FF4472C4"/>
      </top>
      <bottom style="medium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2E75B6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4" min="4" style="1" width="35"/>
  </cols>
  <sheetData>
    <row r="1" customFormat="false" ht="30" hidden="false" customHeight="true" outlineLevel="0" collapsed="false">
      <c r="A1" s="2" t="s">
        <v>0</v>
      </c>
    </row>
    <row r="2" customFormat="false" ht="4.5" hidden="false" customHeight="true" outlineLevel="0" collapsed="false"/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5000000</v>
      </c>
      <c r="C5" s="7" t="s">
        <v>7</v>
      </c>
      <c r="D5" s="8" t="s">
        <v>8</v>
      </c>
    </row>
    <row r="6" customFormat="false" ht="15" hidden="false" customHeight="true" outlineLevel="0" collapsed="false">
      <c r="A6" s="5" t="s">
        <v>9</v>
      </c>
      <c r="B6" s="9" t="n">
        <v>0.08</v>
      </c>
      <c r="C6" s="7" t="s">
        <v>10</v>
      </c>
      <c r="D6" s="8" t="s">
        <v>11</v>
      </c>
    </row>
    <row r="7" customFormat="false" ht="15" hidden="false" customHeight="true" outlineLevel="0" collapsed="false">
      <c r="A7" s="5" t="s">
        <v>12</v>
      </c>
      <c r="B7" s="9" t="n">
        <v>0.62</v>
      </c>
      <c r="C7" s="7" t="s">
        <v>10</v>
      </c>
      <c r="D7" s="8" t="s">
        <v>13</v>
      </c>
    </row>
    <row r="8" customFormat="false" ht="15" hidden="false" customHeight="true" outlineLevel="0" collapsed="false">
      <c r="A8" s="5" t="s">
        <v>14</v>
      </c>
      <c r="B8" s="9" t="n">
        <v>0.35</v>
      </c>
      <c r="C8" s="7" t="s">
        <v>10</v>
      </c>
      <c r="D8" s="8" t="s">
        <v>15</v>
      </c>
    </row>
    <row r="9" customFormat="false" ht="15" hidden="false" customHeight="true" outlineLevel="0" collapsed="false">
      <c r="A9" s="5" t="s">
        <v>16</v>
      </c>
      <c r="B9" s="9" t="n">
        <v>0.21</v>
      </c>
      <c r="C9" s="7" t="s">
        <v>10</v>
      </c>
      <c r="D9" s="8" t="s">
        <v>17</v>
      </c>
    </row>
    <row r="10" customFormat="false" ht="15" hidden="false" customHeight="true" outlineLevel="0" collapsed="false">
      <c r="A10" s="5" t="s">
        <v>18</v>
      </c>
      <c r="B10" s="9" t="n">
        <v>0.1</v>
      </c>
      <c r="C10" s="7" t="s">
        <v>10</v>
      </c>
      <c r="D10" s="8" t="s">
        <v>19</v>
      </c>
    </row>
    <row r="11" customFormat="false" ht="15" hidden="false" customHeight="true" outlineLevel="0" collapsed="false">
      <c r="A11" s="5" t="s">
        <v>20</v>
      </c>
      <c r="B11" s="9" t="n">
        <v>0.025</v>
      </c>
      <c r="C11" s="7" t="s">
        <v>10</v>
      </c>
      <c r="D11" s="8" t="s">
        <v>21</v>
      </c>
    </row>
    <row r="12" customFormat="false" ht="15" hidden="false" customHeight="true" outlineLevel="0" collapsed="false">
      <c r="A12" s="10" t="s">
        <v>22</v>
      </c>
      <c r="B12" s="10"/>
      <c r="C12" s="10"/>
      <c r="D12" s="10"/>
    </row>
    <row r="13" customFormat="false" ht="15" hidden="false" customHeight="true" outlineLevel="0" collapsed="false">
      <c r="A13" s="4" t="s">
        <v>2</v>
      </c>
      <c r="B13" s="4" t="s">
        <v>3</v>
      </c>
      <c r="C13" s="4" t="s">
        <v>4</v>
      </c>
      <c r="D13" s="4" t="s">
        <v>5</v>
      </c>
    </row>
    <row r="14" customFormat="false" ht="15" hidden="false" customHeight="true" outlineLevel="0" collapsed="false">
      <c r="A14" s="5" t="s">
        <v>23</v>
      </c>
      <c r="B14" s="11" t="n">
        <v>2</v>
      </c>
      <c r="C14" s="7" t="s">
        <v>24</v>
      </c>
      <c r="D14" s="8" t="s">
        <v>25</v>
      </c>
    </row>
    <row r="15" customFormat="false" ht="15" hidden="false" customHeight="true" outlineLevel="0" collapsed="false">
      <c r="A15" s="5" t="s">
        <v>26</v>
      </c>
      <c r="B15" s="9" t="n">
        <v>0.03</v>
      </c>
      <c r="C15" s="7" t="s">
        <v>10</v>
      </c>
      <c r="D15" s="8" t="s">
        <v>27</v>
      </c>
    </row>
    <row r="16" customFormat="false" ht="15" hidden="false" customHeight="true" outlineLevel="0" collapsed="false">
      <c r="A16" s="5" t="s">
        <v>28</v>
      </c>
      <c r="B16" s="9" t="n">
        <v>0.08</v>
      </c>
      <c r="C16" s="7" t="s">
        <v>10</v>
      </c>
      <c r="D16" s="8" t="s">
        <v>29</v>
      </c>
    </row>
    <row r="17" customFormat="false" ht="15" hidden="false" customHeight="true" outlineLevel="0" collapsed="false">
      <c r="A17" s="5" t="s">
        <v>30</v>
      </c>
      <c r="B17" s="9" t="n">
        <v>0.15</v>
      </c>
      <c r="C17" s="7" t="s">
        <v>10</v>
      </c>
      <c r="D17" s="8" t="s">
        <v>31</v>
      </c>
    </row>
    <row r="18" customFormat="false" ht="15" hidden="false" customHeight="true" outlineLevel="0" collapsed="false">
      <c r="A18" s="12" t="s">
        <v>32</v>
      </c>
      <c r="B18" s="13" t="n">
        <f aca="false">IFERROR(CHOOSE(B14,B15,B16,B17),NA())</f>
        <v>0.08</v>
      </c>
      <c r="C18" s="7" t="s">
        <v>10</v>
      </c>
      <c r="D18" s="8" t="s">
        <v>33</v>
      </c>
    </row>
  </sheetData>
  <mergeCells count="2">
    <mergeCell ref="A3:D3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6"/>
  </cols>
  <sheetData>
    <row r="1" customFormat="false" ht="15.75" hidden="false" customHeight="true" outlineLevel="0" collapsed="false">
      <c r="A1" s="2" t="s">
        <v>34</v>
      </c>
    </row>
    <row r="3" customFormat="false" ht="15" hidden="false" customHeight="true" outlineLevel="0" collapsed="false">
      <c r="B3" s="10" t="s">
        <v>35</v>
      </c>
      <c r="C3" s="10"/>
      <c r="D3" s="10"/>
      <c r="E3" s="10"/>
      <c r="F3" s="10"/>
    </row>
    <row r="4" customFormat="false" ht="15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</row>
    <row r="5" customFormat="false" ht="15" hidden="false" customHeight="true" outlineLevel="0" collapsed="false">
      <c r="A5" s="12" t="s">
        <v>42</v>
      </c>
      <c r="B5" s="14" t="n">
        <f aca="false">Assumptions!B5/1000</f>
        <v>5000</v>
      </c>
      <c r="C5" s="15" t="n">
        <f aca="false">IFERROR(B5*(1+Assumptions!B18),B5*(1+Assumptions!B6))</f>
        <v>5400</v>
      </c>
      <c r="D5" s="15" t="n">
        <f aca="false">IFERROR(C5*(1+Assumptions!B18),C5*(1+Assumptions!B6))</f>
        <v>5832</v>
      </c>
      <c r="E5" s="15" t="n">
        <f aca="false">IFERROR(D5*(1+Assumptions!B18),D5*(1+Assumptions!B6))</f>
        <v>6298.56</v>
      </c>
      <c r="F5" s="15" t="n">
        <f aca="false">IFERROR(E5*(1+Assumptions!B18),E5*(1+Assumptions!B6))</f>
        <v>6802.4448</v>
      </c>
    </row>
    <row r="6" customFormat="false" ht="15" hidden="false" customHeight="true" outlineLevel="0" collapsed="false">
      <c r="A6" s="16" t="s">
        <v>43</v>
      </c>
      <c r="B6" s="17" t="str">
        <f aca="false">IFERROR(NA(),"-")</f>
        <v>-</v>
      </c>
      <c r="C6" s="17" t="n">
        <f aca="false">IFERROR((C5-B5)/B5,NA())</f>
        <v>0.08</v>
      </c>
      <c r="D6" s="17" t="n">
        <f aca="false">IFERROR((D5-C5)/C5,NA())</f>
        <v>0.08</v>
      </c>
      <c r="E6" s="17" t="n">
        <f aca="false">IFERROR((E5-D5)/D5,NA())</f>
        <v>0.0800000000000001</v>
      </c>
      <c r="F6" s="17" t="n">
        <f aca="false">IFERROR((F5-E5)/E5,NA())</f>
        <v>0.0800000000000001</v>
      </c>
    </row>
    <row r="7" customFormat="false" ht="15" hidden="false" customHeight="true" outlineLevel="0" collapsed="false">
      <c r="A7" s="12" t="s">
        <v>44</v>
      </c>
      <c r="B7" s="15" t="n">
        <f aca="false">B5*Assumptions!$B$7</f>
        <v>3100</v>
      </c>
      <c r="C7" s="15" t="n">
        <f aca="false">C5*Assumptions!$B$7</f>
        <v>3348</v>
      </c>
      <c r="D7" s="15" t="n">
        <f aca="false">D5*Assumptions!$B$7</f>
        <v>3615.84</v>
      </c>
      <c r="E7" s="15" t="n">
        <f aca="false">E5*Assumptions!$B$7</f>
        <v>3905.1072</v>
      </c>
      <c r="F7" s="15" t="n">
        <f aca="false">F5*Assumptions!$B$7</f>
        <v>4217.515776</v>
      </c>
    </row>
    <row r="8" customFormat="false" ht="15" hidden="false" customHeight="true" outlineLevel="0" collapsed="false">
      <c r="A8" s="16" t="s">
        <v>45</v>
      </c>
      <c r="B8" s="17" t="n">
        <f aca="false">IFERROR(B7/B5,NA())</f>
        <v>0.62</v>
      </c>
      <c r="C8" s="17" t="n">
        <f aca="false">IFERROR(C7/C5,NA())</f>
        <v>0.62</v>
      </c>
      <c r="D8" s="17" t="n">
        <f aca="false">IFERROR(D7/D5,NA())</f>
        <v>0.62</v>
      </c>
      <c r="E8" s="17" t="n">
        <f aca="false">IFERROR(E7/E5,NA())</f>
        <v>0.62</v>
      </c>
      <c r="F8" s="17" t="n">
        <f aca="false">IFERROR(F7/F5,NA())</f>
        <v>0.62</v>
      </c>
    </row>
    <row r="9" customFormat="false" ht="15" hidden="false" customHeight="true" outlineLevel="0" collapsed="false">
      <c r="A9" s="5" t="s">
        <v>46</v>
      </c>
      <c r="B9" s="15" t="n">
        <f aca="false">B5*Assumptions!$B$8</f>
        <v>1750</v>
      </c>
      <c r="C9" s="15" t="n">
        <f aca="false">C5*Assumptions!$B$8</f>
        <v>1890</v>
      </c>
      <c r="D9" s="15" t="n">
        <f aca="false">D5*Assumptions!$B$8</f>
        <v>2041.2</v>
      </c>
      <c r="E9" s="15" t="n">
        <f aca="false">E5*Assumptions!$B$8</f>
        <v>2204.496</v>
      </c>
      <c r="F9" s="15" t="n">
        <f aca="false">F5*Assumptions!$B$8</f>
        <v>2380.85568</v>
      </c>
    </row>
    <row r="10" customFormat="false" ht="15" hidden="false" customHeight="true" outlineLevel="0" collapsed="false">
      <c r="A10" s="18" t="s">
        <v>47</v>
      </c>
      <c r="B10" s="19" t="n">
        <f aca="false">B7-B9</f>
        <v>1350</v>
      </c>
      <c r="C10" s="19" t="n">
        <f aca="false">C7-C9</f>
        <v>1458</v>
      </c>
      <c r="D10" s="19" t="n">
        <f aca="false">D7-D9</f>
        <v>1574.64</v>
      </c>
      <c r="E10" s="19" t="n">
        <f aca="false">E7-E9</f>
        <v>1700.6112</v>
      </c>
      <c r="F10" s="19" t="n">
        <f aca="false">F7-F9</f>
        <v>1836.660096</v>
      </c>
    </row>
    <row r="11" customFormat="false" ht="15" hidden="false" customHeight="true" outlineLevel="0" collapsed="false">
      <c r="A11" s="5" t="s">
        <v>48</v>
      </c>
      <c r="B11" s="17" t="n">
        <f aca="false">IFERROR(B10/B5,NA())</f>
        <v>0.27</v>
      </c>
      <c r="C11" s="17" t="n">
        <f aca="false">IFERROR(C10/C5,NA())</f>
        <v>0.27</v>
      </c>
      <c r="D11" s="17" t="n">
        <f aca="false">IFERROR(D10/D5,NA())</f>
        <v>0.27</v>
      </c>
      <c r="E11" s="17" t="n">
        <f aca="false">IFERROR(E10/E5,NA())</f>
        <v>0.27</v>
      </c>
      <c r="F11" s="17" t="n">
        <f aca="false">IFERROR(F10/F5,NA())</f>
        <v>0.27</v>
      </c>
    </row>
    <row r="12" customFormat="false" ht="15" hidden="false" customHeight="true" outlineLevel="0" collapsed="false">
      <c r="A12" s="16" t="s">
        <v>49</v>
      </c>
      <c r="B12" s="15" t="n">
        <f aca="false">IF(B10&gt;0,B10*Assumptions!$B$9,0)</f>
        <v>283.5</v>
      </c>
      <c r="C12" s="15" t="n">
        <f aca="false">IF(C10&gt;0,C10*Assumptions!$B$9,0)</f>
        <v>306.18</v>
      </c>
      <c r="D12" s="15" t="n">
        <f aca="false">IF(D10&gt;0,D10*Assumptions!$B$9,0)</f>
        <v>330.6744</v>
      </c>
      <c r="E12" s="15" t="n">
        <f aca="false">IF(E10&gt;0,E10*Assumptions!$B$9,0)</f>
        <v>357.128352</v>
      </c>
      <c r="F12" s="15" t="n">
        <f aca="false">IF(F10&gt;0,F10*Assumptions!$B$9,0)</f>
        <v>385.69862016</v>
      </c>
    </row>
    <row r="13" customFormat="false" ht="15" hidden="false" customHeight="true" outlineLevel="0" collapsed="false">
      <c r="A13" s="12" t="s">
        <v>50</v>
      </c>
      <c r="B13" s="19" t="n">
        <f aca="false">B10-B12</f>
        <v>1066.5</v>
      </c>
      <c r="C13" s="19" t="n">
        <f aca="false">C10-C12</f>
        <v>1151.82</v>
      </c>
      <c r="D13" s="19" t="n">
        <f aca="false">D10-D12</f>
        <v>1243.9656</v>
      </c>
      <c r="E13" s="19" t="n">
        <f aca="false">E10-E12</f>
        <v>1343.482848</v>
      </c>
      <c r="F13" s="19" t="n">
        <f aca="false">F10-F12</f>
        <v>1450.96147584</v>
      </c>
    </row>
    <row r="14" customFormat="false" ht="15" hidden="false" customHeight="true" outlineLevel="0" collapsed="false">
      <c r="A14" s="16" t="s">
        <v>51</v>
      </c>
      <c r="B14" s="17" t="n">
        <f aca="false">IFERROR(B13/B5,NA())</f>
        <v>0.2133</v>
      </c>
      <c r="C14" s="17" t="n">
        <f aca="false">IFERROR(C13/C5,NA())</f>
        <v>0.2133</v>
      </c>
      <c r="D14" s="17" t="n">
        <f aca="false">IFERROR(D13/D5,NA())</f>
        <v>0.2133</v>
      </c>
      <c r="E14" s="17" t="n">
        <f aca="false">IFERROR(E13/E5,NA())</f>
        <v>0.2133</v>
      </c>
      <c r="F14" s="17" t="n">
        <f aca="false">IFERROR(F13/F5,NA())</f>
        <v>0.2133</v>
      </c>
    </row>
    <row r="16" customFormat="false" ht="15" hidden="false" customHeight="true" outlineLevel="0" collapsed="false">
      <c r="A16" s="10" t="s">
        <v>52</v>
      </c>
      <c r="B16" s="10"/>
      <c r="C16" s="10"/>
      <c r="D16" s="10"/>
      <c r="E16" s="10"/>
      <c r="F16" s="10"/>
    </row>
    <row r="17" customFormat="false" ht="15" hidden="false" customHeight="true" outlineLevel="0" collapsed="false">
      <c r="A17" s="4" t="s">
        <v>53</v>
      </c>
      <c r="B17" s="4" t="s">
        <v>3</v>
      </c>
      <c r="C17" s="4" t="s">
        <v>54</v>
      </c>
    </row>
    <row r="18" customFormat="false" ht="15" hidden="false" customHeight="true" outlineLevel="0" collapsed="false">
      <c r="A18" s="16" t="s">
        <v>55</v>
      </c>
      <c r="B18" s="20" t="n">
        <f aca="false">SUM(B5:F5)</f>
        <v>29333.0048</v>
      </c>
      <c r="C18" s="21" t="s">
        <v>56</v>
      </c>
    </row>
    <row r="19" customFormat="false" ht="15" hidden="false" customHeight="true" outlineLevel="0" collapsed="false">
      <c r="A19" s="5" t="s">
        <v>57</v>
      </c>
      <c r="B19" s="15" t="n">
        <f aca="false">AVERAGE(B5:F5)</f>
        <v>5866.60096</v>
      </c>
      <c r="C19" s="8" t="s">
        <v>58</v>
      </c>
    </row>
    <row r="20" customFormat="false" ht="15" hidden="false" customHeight="true" outlineLevel="0" collapsed="false">
      <c r="A20" s="16" t="s">
        <v>59</v>
      </c>
      <c r="B20" s="22" t="n">
        <f aca="false">IFERROR(AVERAGE(B14:F14),NA())</f>
        <v>0.2133</v>
      </c>
      <c r="C20" s="21" t="s">
        <v>60</v>
      </c>
    </row>
    <row r="21" customFormat="false" ht="15" hidden="false" customHeight="true" outlineLevel="0" collapsed="false">
      <c r="A21" s="5" t="s">
        <v>61</v>
      </c>
      <c r="B21" s="15" t="n">
        <f aca="false">IFERROR(NPV(Assumptions!B10,C13:F13)+B13,NA())</f>
        <v>5142.08459438563</v>
      </c>
      <c r="C21" s="8" t="s">
        <v>62</v>
      </c>
    </row>
    <row r="22" customFormat="false" ht="15" hidden="false" customHeight="true" outlineLevel="0" collapsed="false">
      <c r="A22" s="16" t="s">
        <v>63</v>
      </c>
      <c r="B22" s="20" t="str">
        <f aca="false">TEXT(INDEX(B4:F4,MATCH(MAX(B5:F5),B5:F5,0)),"0")</f>
        <v>2029</v>
      </c>
      <c r="C22" s="21" t="s">
        <v>64</v>
      </c>
    </row>
    <row r="23" customFormat="false" ht="15" hidden="false" customHeight="true" outlineLevel="0" collapsed="false">
      <c r="A23" s="5" t="s">
        <v>65</v>
      </c>
      <c r="B23" s="15" t="n">
        <f aca="false">IFERROR((F5/B5)^(1/4)-1,NA())</f>
        <v>0.0800000000000001</v>
      </c>
      <c r="C23" s="8" t="s">
        <v>66</v>
      </c>
    </row>
    <row r="24" customFormat="false" ht="15" hidden="false" customHeight="true" outlineLevel="0" collapsed="false">
      <c r="A24" s="16" t="s">
        <v>67</v>
      </c>
      <c r="B24" s="20" t="n">
        <f aca="false">SUM(B13:F13)</f>
        <v>6256.72992384</v>
      </c>
      <c r="C24" s="21" t="s">
        <v>56</v>
      </c>
    </row>
  </sheetData>
  <mergeCells count="2">
    <mergeCell ref="B3:F3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3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30"/>
  </cols>
  <sheetData>
    <row r="1" customFormat="false" ht="15.75" hidden="false" customHeight="true" outlineLevel="0" collapsed="false">
      <c r="A1" s="2" t="s">
        <v>68</v>
      </c>
    </row>
    <row r="3" customFormat="false" ht="15" hidden="false" customHeight="true" outlineLevel="0" collapsed="false">
      <c r="A3" s="10" t="s">
        <v>69</v>
      </c>
      <c r="B3" s="10"/>
      <c r="C3" s="10"/>
      <c r="D3" s="10"/>
      <c r="E3" s="10"/>
      <c r="F3" s="10"/>
      <c r="H3" s="10" t="s">
        <v>70</v>
      </c>
      <c r="I3" s="10"/>
      <c r="J3" s="10"/>
      <c r="K3" s="10"/>
    </row>
    <row r="4" customFormat="false" ht="15" hidden="false" customHeight="true" outlineLevel="0" collapsed="false">
      <c r="A4" s="4" t="s">
        <v>71</v>
      </c>
      <c r="B4" s="4" t="s">
        <v>72</v>
      </c>
      <c r="C4" s="4" t="s">
        <v>73</v>
      </c>
      <c r="D4" s="4" t="s">
        <v>74</v>
      </c>
      <c r="E4" s="4" t="s">
        <v>75</v>
      </c>
      <c r="F4" s="4" t="s">
        <v>76</v>
      </c>
      <c r="H4" s="4" t="s">
        <v>77</v>
      </c>
      <c r="I4" s="4" t="s">
        <v>78</v>
      </c>
      <c r="J4" s="4" t="s">
        <v>79</v>
      </c>
      <c r="K4" s="4" t="s">
        <v>5</v>
      </c>
    </row>
    <row r="5" customFormat="false" ht="15" hidden="false" customHeight="true" outlineLevel="0" collapsed="false">
      <c r="A5" s="7" t="s">
        <v>80</v>
      </c>
      <c r="B5" s="5" t="s">
        <v>81</v>
      </c>
      <c r="C5" s="7" t="s">
        <v>82</v>
      </c>
      <c r="D5" s="23" t="n">
        <v>149.99</v>
      </c>
      <c r="E5" s="24" t="n">
        <v>3200</v>
      </c>
      <c r="F5" s="25" t="n">
        <f aca="false">D5*E5</f>
        <v>479968</v>
      </c>
      <c r="H5" s="5" t="s">
        <v>83</v>
      </c>
      <c r="I5" s="26" t="s">
        <v>84</v>
      </c>
      <c r="J5" s="8" t="s">
        <v>85</v>
      </c>
    </row>
    <row r="6" customFormat="false" ht="15" hidden="false" customHeight="true" outlineLevel="0" collapsed="false">
      <c r="A6" s="27" t="s">
        <v>86</v>
      </c>
      <c r="B6" s="16" t="s">
        <v>87</v>
      </c>
      <c r="C6" s="27" t="s">
        <v>88</v>
      </c>
      <c r="D6" s="28" t="n">
        <v>299</v>
      </c>
      <c r="E6" s="29" t="n">
        <v>1500</v>
      </c>
      <c r="F6" s="30" t="n">
        <f aca="false">D6*E6</f>
        <v>448500</v>
      </c>
      <c r="H6" s="16" t="s">
        <v>89</v>
      </c>
      <c r="I6" s="31" t="str">
        <f aca="false">IFERROR(VLOOKUP(I5,A5:F12,2,FALSE()),"Not Found")</f>
        <v>Gamma Suite</v>
      </c>
      <c r="J6" s="21" t="s">
        <v>90</v>
      </c>
    </row>
    <row r="7" customFormat="false" ht="15" hidden="false" customHeight="true" outlineLevel="0" collapsed="false">
      <c r="A7" s="7" t="s">
        <v>84</v>
      </c>
      <c r="B7" s="5" t="s">
        <v>91</v>
      </c>
      <c r="C7" s="7" t="s">
        <v>88</v>
      </c>
      <c r="D7" s="23" t="n">
        <v>499</v>
      </c>
      <c r="E7" s="24" t="n">
        <v>800</v>
      </c>
      <c r="F7" s="25" t="n">
        <f aca="false">D7*E7</f>
        <v>399200</v>
      </c>
      <c r="H7" s="5" t="s">
        <v>92</v>
      </c>
      <c r="I7" s="23" t="n">
        <f aca="false">IFERROR(INDEX(D5:D12,MATCH(I5,A5:A12,0)),NA())</f>
        <v>499</v>
      </c>
      <c r="J7" s="8" t="s">
        <v>93</v>
      </c>
    </row>
    <row r="8" customFormat="false" ht="15" hidden="false" customHeight="true" outlineLevel="0" collapsed="false">
      <c r="A8" s="27" t="s">
        <v>94</v>
      </c>
      <c r="B8" s="16" t="s">
        <v>95</v>
      </c>
      <c r="C8" s="27" t="s">
        <v>82</v>
      </c>
      <c r="D8" s="28" t="n">
        <v>89.5</v>
      </c>
      <c r="E8" s="29" t="n">
        <v>5600</v>
      </c>
      <c r="F8" s="30" t="n">
        <f aca="false">D8*E8</f>
        <v>501200</v>
      </c>
      <c r="H8" s="16" t="s">
        <v>75</v>
      </c>
      <c r="I8" s="29" t="n">
        <f aca="false">IFERROR(INDEX(E5:E12,MATCH(I5,A5:A12,0)),NA())</f>
        <v>800</v>
      </c>
      <c r="J8" s="21" t="s">
        <v>93</v>
      </c>
    </row>
    <row r="9" customFormat="false" ht="15" hidden="false" customHeight="true" outlineLevel="0" collapsed="false">
      <c r="A9" s="7" t="s">
        <v>96</v>
      </c>
      <c r="B9" s="5" t="s">
        <v>97</v>
      </c>
      <c r="C9" s="7" t="s">
        <v>98</v>
      </c>
      <c r="D9" s="23" t="n">
        <v>24.99</v>
      </c>
      <c r="E9" s="24" t="n">
        <v>12000</v>
      </c>
      <c r="F9" s="25" t="n">
        <f aca="false">D9*E9</f>
        <v>299880</v>
      </c>
      <c r="H9" s="5" t="s">
        <v>76</v>
      </c>
      <c r="I9" s="23" t="n">
        <f aca="false">IFERROR(INDEX(F5:F12,MATCH(I5,A5:A12,0)),NA())</f>
        <v>399200</v>
      </c>
      <c r="J9" s="8" t="s">
        <v>93</v>
      </c>
    </row>
    <row r="10" customFormat="false" ht="15" hidden="false" customHeight="true" outlineLevel="0" collapsed="false">
      <c r="A10" s="27" t="s">
        <v>99</v>
      </c>
      <c r="B10" s="16" t="s">
        <v>100</v>
      </c>
      <c r="C10" s="27" t="s">
        <v>82</v>
      </c>
      <c r="D10" s="28" t="n">
        <v>399</v>
      </c>
      <c r="E10" s="29" t="n">
        <v>450</v>
      </c>
      <c r="F10" s="30" t="n">
        <f aca="false">D10*E10</f>
        <v>179550</v>
      </c>
      <c r="H10" s="16" t="s">
        <v>73</v>
      </c>
      <c r="I10" s="31" t="str">
        <f aca="false">IFERROR(VLOOKUP(I5,A5:F12,3,FALSE()),"Not Found")</f>
        <v>Software</v>
      </c>
      <c r="J10" s="21" t="s">
        <v>101</v>
      </c>
    </row>
    <row r="11" customFormat="false" ht="15" hidden="false" customHeight="true" outlineLevel="0" collapsed="false">
      <c r="A11" s="7" t="s">
        <v>102</v>
      </c>
      <c r="B11" s="5" t="s">
        <v>103</v>
      </c>
      <c r="C11" s="7" t="s">
        <v>88</v>
      </c>
      <c r="D11" s="23" t="n">
        <v>999</v>
      </c>
      <c r="E11" s="24" t="n">
        <v>200</v>
      </c>
      <c r="F11" s="25" t="n">
        <f aca="false">D11*E11</f>
        <v>199800</v>
      </c>
      <c r="H11" s="5" t="s">
        <v>104</v>
      </c>
      <c r="I11" s="32" t="str">
        <f aca="false">IF(ISNUMBER(MATCH(I5,A5:A12,0)),"✔ Found","✘ Not Found")</f>
        <v>✔ Found</v>
      </c>
      <c r="J11" s="8" t="s">
        <v>105</v>
      </c>
    </row>
    <row r="12" customFormat="false" ht="15" hidden="false" customHeight="true" outlineLevel="0" collapsed="false">
      <c r="A12" s="27" t="s">
        <v>106</v>
      </c>
      <c r="B12" s="16" t="s">
        <v>107</v>
      </c>
      <c r="C12" s="27" t="s">
        <v>98</v>
      </c>
      <c r="D12" s="28" t="n">
        <v>59.99</v>
      </c>
      <c r="E12" s="29" t="n">
        <v>3800</v>
      </c>
      <c r="F12" s="30" t="n">
        <f aca="false">D12*E12</f>
        <v>227962</v>
      </c>
    </row>
    <row r="13" customFormat="false" ht="15" hidden="false" customHeight="true" outlineLevel="0" collapsed="false">
      <c r="A13" s="4" t="s">
        <v>108</v>
      </c>
      <c r="E13" s="33" t="n">
        <f aca="false">SUM(E5:E12)</f>
        <v>27550</v>
      </c>
      <c r="F13" s="34" t="n">
        <f aca="false">SUM(F5:F12)</f>
        <v>2736060</v>
      </c>
      <c r="H13" s="10" t="s">
        <v>109</v>
      </c>
      <c r="I13" s="10"/>
      <c r="J13" s="10"/>
      <c r="K13" s="10"/>
    </row>
    <row r="14" customFormat="false" ht="15" hidden="false" customHeight="true" outlineLevel="0" collapsed="false">
      <c r="H14" s="16" t="s">
        <v>110</v>
      </c>
      <c r="I14" s="30" t="n">
        <f aca="false">SUMPRODUCT((C5:C12="Software")*F5:F12)</f>
        <v>1047500</v>
      </c>
      <c r="J14" s="21" t="s">
        <v>111</v>
      </c>
    </row>
    <row r="15" customFormat="false" ht="15" hidden="false" customHeight="true" outlineLevel="0" collapsed="false">
      <c r="H15" s="5" t="s">
        <v>112</v>
      </c>
      <c r="I15" s="25" t="n">
        <f aca="false">SUMPRODUCT((C5:C12="Hardware")*F5:F12)</f>
        <v>1160718</v>
      </c>
      <c r="J15" s="8" t="s">
        <v>113</v>
      </c>
    </row>
    <row r="16" customFormat="false" ht="15" hidden="false" customHeight="true" outlineLevel="0" collapsed="false">
      <c r="H16" s="16" t="s">
        <v>114</v>
      </c>
      <c r="I16" s="30" t="n">
        <f aca="false">SUMPRODUCT((C5:C12="Accessory")*F5:F12)</f>
        <v>527842</v>
      </c>
      <c r="J16" s="21" t="s">
        <v>115</v>
      </c>
    </row>
    <row r="17" customFormat="false" ht="15" hidden="false" customHeight="true" outlineLevel="0" collapsed="false">
      <c r="H17" s="5" t="s">
        <v>116</v>
      </c>
      <c r="I17" s="25" t="n">
        <f aca="false">IFERROR(SUMPRODUCT(D5:D12,E5:E12)/SUM(E5:E12),NA())</f>
        <v>99.3125226860254</v>
      </c>
      <c r="J17" s="8" t="s">
        <v>117</v>
      </c>
    </row>
    <row r="18" customFormat="false" ht="15" hidden="false" customHeight="true" outlineLevel="0" collapsed="false">
      <c r="H18" s="16" t="s">
        <v>118</v>
      </c>
      <c r="I18" s="29" t="n">
        <f aca="false">SUMPRODUCT((D5:D12&gt;200)*1)</f>
        <v>4</v>
      </c>
      <c r="J18" s="21" t="s">
        <v>119</v>
      </c>
    </row>
    <row r="19" customFormat="false" ht="15" hidden="false" customHeight="true" outlineLevel="0" collapsed="false">
      <c r="H19" s="5" t="s">
        <v>120</v>
      </c>
      <c r="I19" s="24" t="n">
        <f aca="false">SUMPRODUCT((ROW(A5:A12)-ROW(A5)+1)*(C5:C12="Software"))</f>
        <v>12</v>
      </c>
      <c r="J19" s="8" t="s">
        <v>121</v>
      </c>
    </row>
  </sheetData>
  <mergeCells count="3">
    <mergeCell ref="A3:F3"/>
    <mergeCell ref="H3:K3"/>
    <mergeCell ref="H13:K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3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5.75" hidden="false" customHeight="true" outlineLevel="0" collapsed="false">
      <c r="A1" s="2" t="s">
        <v>122</v>
      </c>
    </row>
    <row r="3" customFormat="false" ht="15" hidden="false" customHeight="true" outlineLevel="0" collapsed="false">
      <c r="A3" s="10" t="s">
        <v>123</v>
      </c>
      <c r="B3" s="10"/>
      <c r="C3" s="10"/>
      <c r="E3" s="10" t="s">
        <v>124</v>
      </c>
      <c r="F3" s="10"/>
      <c r="G3" s="10"/>
    </row>
    <row r="4" customFormat="false" ht="15" hidden="false" customHeight="true" outlineLevel="0" collapsed="false">
      <c r="A4" s="4" t="s">
        <v>125</v>
      </c>
      <c r="B4" s="4" t="s">
        <v>126</v>
      </c>
      <c r="C4" s="4" t="s">
        <v>127</v>
      </c>
      <c r="E4" s="4" t="s">
        <v>128</v>
      </c>
      <c r="F4" s="4" t="s">
        <v>3</v>
      </c>
      <c r="G4" s="4" t="s">
        <v>79</v>
      </c>
    </row>
    <row r="5" customFormat="false" ht="15" hidden="false" customHeight="true" outlineLevel="0" collapsed="false">
      <c r="A5" s="7" t="s">
        <v>129</v>
      </c>
      <c r="B5" s="35" t="n">
        <v>312</v>
      </c>
      <c r="C5" s="36" t="n">
        <f aca="false">ROW()-ROW($C$5)+1</f>
        <v>1</v>
      </c>
      <c r="E5" s="5" t="s">
        <v>130</v>
      </c>
      <c r="F5" s="37" t="n">
        <f aca="false">AVERAGE(B5:B16)</f>
        <v>455.166666666667</v>
      </c>
      <c r="G5" s="8" t="s">
        <v>58</v>
      </c>
    </row>
    <row r="6" customFormat="false" ht="15" hidden="false" customHeight="true" outlineLevel="0" collapsed="false">
      <c r="A6" s="27" t="s">
        <v>131</v>
      </c>
      <c r="B6" s="38" t="n">
        <v>287</v>
      </c>
      <c r="C6" s="39" t="n">
        <f aca="false">ROW()-ROW($C$5)+1</f>
        <v>2</v>
      </c>
      <c r="E6" s="16" t="s">
        <v>132</v>
      </c>
      <c r="F6" s="40" t="n">
        <f aca="false">IFERROR(SUMPRODUCT((B5:B16-AVERAGE(B5:B16))^2)/COUNT(B5:B16),NA())^0.5</f>
        <v>102.926214132045</v>
      </c>
      <c r="G6" s="21" t="s">
        <v>133</v>
      </c>
    </row>
    <row r="7" customFormat="false" ht="15" hidden="false" customHeight="true" outlineLevel="0" collapsed="false">
      <c r="A7" s="7" t="s">
        <v>134</v>
      </c>
      <c r="B7" s="35" t="n">
        <v>341</v>
      </c>
      <c r="C7" s="36" t="n">
        <f aca="false">ROW()-ROW($C$5)+1</f>
        <v>3</v>
      </c>
      <c r="E7" s="5" t="s">
        <v>135</v>
      </c>
      <c r="F7" s="37" t="n">
        <f aca="false">MIN(B5:B16)</f>
        <v>287</v>
      </c>
      <c r="G7" s="8" t="s">
        <v>136</v>
      </c>
    </row>
    <row r="8" customFormat="false" ht="15" hidden="false" customHeight="true" outlineLevel="0" collapsed="false">
      <c r="A8" s="27" t="s">
        <v>137</v>
      </c>
      <c r="B8" s="38" t="n">
        <v>398</v>
      </c>
      <c r="C8" s="39" t="n">
        <f aca="false">ROW()-ROW($C$5)+1</f>
        <v>4</v>
      </c>
      <c r="E8" s="16" t="s">
        <v>138</v>
      </c>
      <c r="F8" s="40" t="n">
        <f aca="false">MAX(B5:B16)</f>
        <v>628</v>
      </c>
      <c r="G8" s="21" t="s">
        <v>139</v>
      </c>
    </row>
    <row r="9" customFormat="false" ht="15" hidden="false" customHeight="true" outlineLevel="0" collapsed="false">
      <c r="A9" s="7" t="s">
        <v>140</v>
      </c>
      <c r="B9" s="35" t="n">
        <v>422</v>
      </c>
      <c r="C9" s="36" t="n">
        <f aca="false">ROW()-ROW($C$5)+1</f>
        <v>5</v>
      </c>
      <c r="E9" s="5" t="s">
        <v>141</v>
      </c>
      <c r="F9" s="37" t="n">
        <f aca="false">COUNT(B5:B16)</f>
        <v>12</v>
      </c>
      <c r="G9" s="8" t="s">
        <v>142</v>
      </c>
    </row>
    <row r="10" customFormat="false" ht="15" hidden="false" customHeight="true" outlineLevel="0" collapsed="false">
      <c r="A10" s="27" t="s">
        <v>143</v>
      </c>
      <c r="B10" s="38" t="n">
        <v>461</v>
      </c>
      <c r="C10" s="39" t="n">
        <f aca="false">ROW()-ROW($C$5)+1</f>
        <v>6</v>
      </c>
      <c r="E10" s="16" t="s">
        <v>144</v>
      </c>
      <c r="F10" s="40" t="n">
        <f aca="true">IFERROR(AVERAGE(OFFSET(B5,3,0,3,1)),NA())</f>
        <v>427</v>
      </c>
      <c r="G10" s="21" t="s">
        <v>145</v>
      </c>
    </row>
    <row r="11" customFormat="false" ht="15" hidden="false" customHeight="true" outlineLevel="0" collapsed="false">
      <c r="A11" s="7" t="s">
        <v>146</v>
      </c>
      <c r="B11" s="35" t="n">
        <v>488</v>
      </c>
      <c r="C11" s="36" t="n">
        <f aca="false">ROW()-ROW($C$5)+1</f>
        <v>7</v>
      </c>
      <c r="E11" s="5" t="s">
        <v>147</v>
      </c>
      <c r="F11" s="37" t="n">
        <f aca="true">IFERROR(AVERAGE(OFFSET(B5,9,0,3,1)),NA())</f>
        <v>587.333333333333</v>
      </c>
      <c r="G11" s="8" t="s">
        <v>145</v>
      </c>
    </row>
    <row r="12" customFormat="false" ht="15" hidden="false" customHeight="true" outlineLevel="0" collapsed="false">
      <c r="A12" s="27" t="s">
        <v>148</v>
      </c>
      <c r="B12" s="38" t="n">
        <v>512</v>
      </c>
      <c r="C12" s="39" t="n">
        <f aca="false">ROW()-ROW($C$5)+1</f>
        <v>8</v>
      </c>
      <c r="E12" s="16" t="s">
        <v>149</v>
      </c>
      <c r="F12" s="40" t="n">
        <f aca="true">IFERROR(AVERAGE(OFFSET(B16,-2,0,3,1)),NA())</f>
        <v>587.333333333333</v>
      </c>
      <c r="G12" s="21" t="s">
        <v>150</v>
      </c>
    </row>
    <row r="13" customFormat="false" ht="15" hidden="false" customHeight="true" outlineLevel="0" collapsed="false">
      <c r="A13" s="7" t="s">
        <v>151</v>
      </c>
      <c r="B13" s="35" t="n">
        <v>479</v>
      </c>
      <c r="C13" s="36" t="n">
        <f aca="false">ROW()-ROW($C$5)+1</f>
        <v>9</v>
      </c>
    </row>
    <row r="14" customFormat="false" ht="15" hidden="false" customHeight="true" outlineLevel="0" collapsed="false">
      <c r="A14" s="27" t="s">
        <v>152</v>
      </c>
      <c r="B14" s="38" t="n">
        <v>543</v>
      </c>
      <c r="C14" s="39" t="n">
        <f aca="false">ROW()-ROW($C$5)+1</f>
        <v>10</v>
      </c>
      <c r="E14" s="10" t="s">
        <v>153</v>
      </c>
      <c r="F14" s="10"/>
      <c r="G14" s="10"/>
      <c r="H14" s="10"/>
    </row>
    <row r="15" customFormat="false" ht="15" hidden="false" customHeight="true" outlineLevel="0" collapsed="false">
      <c r="A15" s="7" t="s">
        <v>154</v>
      </c>
      <c r="B15" s="35" t="n">
        <v>591</v>
      </c>
      <c r="C15" s="36" t="n">
        <f aca="false">ROW()-ROW($C$5)+1</f>
        <v>11</v>
      </c>
      <c r="E15" s="4" t="s">
        <v>155</v>
      </c>
      <c r="F15" s="4" t="s">
        <v>156</v>
      </c>
      <c r="G15" s="4" t="s">
        <v>157</v>
      </c>
      <c r="H15" s="4" t="s">
        <v>158</v>
      </c>
    </row>
    <row r="16" customFormat="false" ht="15" hidden="false" customHeight="true" outlineLevel="0" collapsed="false">
      <c r="A16" s="27" t="s">
        <v>159</v>
      </c>
      <c r="B16" s="38" t="n">
        <v>628</v>
      </c>
      <c r="C16" s="39" t="n">
        <f aca="false">ROW()-ROW($C$5)+1</f>
        <v>12</v>
      </c>
      <c r="E16" s="41" t="n">
        <f aca="false">B5</f>
        <v>312</v>
      </c>
      <c r="F16" s="42" t="n">
        <f aca="false">IFERROR((E16-$F$5)/$F$6,NA())</f>
        <v>-1.39096407920918</v>
      </c>
      <c r="G16" s="43" t="n">
        <f aca="false">IFERROR(NORMDIST(E16,$F$5,$F$6,TRUE()),NA())</f>
        <v>0.0821181598161813</v>
      </c>
      <c r="H16" s="27" t="str">
        <f aca="false">IF(ISNUMBER(F16),IF(F16&gt;0,"Above","Below"),"N/A")</f>
        <v>Below</v>
      </c>
    </row>
    <row r="17" customFormat="false" ht="15" hidden="false" customHeight="true" outlineLevel="0" collapsed="false">
      <c r="E17" s="44" t="n">
        <f aca="false">B6</f>
        <v>287</v>
      </c>
      <c r="F17" s="45" t="n">
        <f aca="false">IFERROR((E17-$F$5)/$F$6,NA())</f>
        <v>-1.63385652610252</v>
      </c>
      <c r="G17" s="46" t="n">
        <f aca="false">IFERROR(NORMDIST(E17,$F$5,$F$6,TRUE()),NA())</f>
        <v>0.0511444899913503</v>
      </c>
      <c r="H17" s="7" t="str">
        <f aca="false">IF(ISNUMBER(F17),IF(F17&gt;0,"Above","Below"),"N/A")</f>
        <v>Below</v>
      </c>
    </row>
    <row r="18" customFormat="false" ht="15" hidden="false" customHeight="true" outlineLevel="0" collapsed="false">
      <c r="E18" s="41" t="n">
        <f aca="false">B7</f>
        <v>341</v>
      </c>
      <c r="F18" s="42" t="n">
        <f aca="false">IFERROR((E18-$F$5)/$F$6,NA())</f>
        <v>-1.10920884081291</v>
      </c>
      <c r="G18" s="43" t="n">
        <f aca="false">IFERROR(NORMDIST(E18,$F$5,$F$6,TRUE()),NA())</f>
        <v>0.133670049799587</v>
      </c>
      <c r="H18" s="27" t="str">
        <f aca="false">IF(ISNUMBER(F18),IF(F18&gt;0,"Above","Below"),"N/A")</f>
        <v>Below</v>
      </c>
    </row>
    <row r="19" customFormat="false" ht="15" hidden="false" customHeight="true" outlineLevel="0" collapsed="false">
      <c r="E19" s="44" t="n">
        <f aca="false">B8</f>
        <v>398</v>
      </c>
      <c r="F19" s="45" t="n">
        <f aca="false">IFERROR((E19-$F$5)/$F$6,NA())</f>
        <v>-0.555414061896099</v>
      </c>
      <c r="G19" s="46" t="n">
        <f aca="false">IFERROR(NORMDIST(E19,$F$5,$F$6,TRUE()),NA())</f>
        <v>0.289305738247046</v>
      </c>
      <c r="H19" s="7" t="str">
        <f aca="false">IF(ISNUMBER(F19),IF(F19&gt;0,"Above","Below"),"N/A")</f>
        <v>Below</v>
      </c>
    </row>
    <row r="20" customFormat="false" ht="15" hidden="false" customHeight="true" outlineLevel="0" collapsed="false">
      <c r="E20" s="41" t="n">
        <f aca="false">B9</f>
        <v>422</v>
      </c>
      <c r="F20" s="42" t="n">
        <f aca="false">IFERROR((E20-$F$5)/$F$6,NA())</f>
        <v>-0.322237312878495</v>
      </c>
      <c r="G20" s="43" t="n">
        <f aca="false">IFERROR(NORMDIST(E20,$F$5,$F$6,TRUE()),NA())</f>
        <v>0.373636459595974</v>
      </c>
      <c r="H20" s="27" t="str">
        <f aca="false">IF(ISNUMBER(F20),IF(F20&gt;0,"Above","Below"),"N/A")</f>
        <v>Below</v>
      </c>
    </row>
    <row r="21" customFormat="false" ht="15" hidden="false" customHeight="true" outlineLevel="0" collapsed="false">
      <c r="E21" s="44" t="n">
        <f aca="false">B10</f>
        <v>461</v>
      </c>
      <c r="F21" s="45" t="n">
        <f aca="false">IFERROR((E21-$F$5)/$F$6,NA())</f>
        <v>0.0566749042751119</v>
      </c>
      <c r="G21" s="46" t="n">
        <f aca="false">IFERROR(NORMDIST(E21,$F$5,$F$6,TRUE()),NA())</f>
        <v>0.522597917318918</v>
      </c>
      <c r="H21" s="7" t="str">
        <f aca="false">IF(ISNUMBER(F21),IF(F21&gt;0,"Above","Below"),"N/A")</f>
        <v>Above</v>
      </c>
    </row>
    <row r="22" customFormat="false" ht="15" hidden="false" customHeight="true" outlineLevel="0" collapsed="false">
      <c r="E22" s="41" t="n">
        <f aca="false">B11</f>
        <v>488</v>
      </c>
      <c r="F22" s="42" t="n">
        <f aca="false">IFERROR((E22-$F$5)/$F$6,NA())</f>
        <v>0.318998746919916</v>
      </c>
      <c r="G22" s="43" t="n">
        <f aca="false">IFERROR(NORMDIST(E22,$F$5,$F$6,TRUE()),NA())</f>
        <v>0.62513626850153</v>
      </c>
      <c r="H22" s="27" t="str">
        <f aca="false">IF(ISNUMBER(F22),IF(F22&gt;0,"Above","Below"),"N/A")</f>
        <v>Above</v>
      </c>
    </row>
    <row r="23" customFormat="false" ht="15" hidden="false" customHeight="true" outlineLevel="0" collapsed="false">
      <c r="E23" s="44" t="n">
        <f aca="false">B12</f>
        <v>512</v>
      </c>
      <c r="F23" s="45" t="n">
        <f aca="false">IFERROR((E23-$F$5)/$F$6,NA())</f>
        <v>0.552175495937521</v>
      </c>
      <c r="G23" s="46" t="n">
        <f aca="false">IFERROR(NORMDIST(E23,$F$5,$F$6,TRUE()),NA())</f>
        <v>0.709585939418399</v>
      </c>
      <c r="H23" s="7" t="str">
        <f aca="false">IF(ISNUMBER(F23),IF(F23&gt;0,"Above","Below"),"N/A")</f>
        <v>Above</v>
      </c>
    </row>
    <row r="24" customFormat="false" ht="15" hidden="false" customHeight="true" outlineLevel="0" collapsed="false">
      <c r="E24" s="41" t="n">
        <f aca="false">B13</f>
        <v>479</v>
      </c>
      <c r="F24" s="42" t="n">
        <f aca="false">IFERROR((E24-$F$5)/$F$6,NA())</f>
        <v>0.231557466038315</v>
      </c>
      <c r="G24" s="43" t="n">
        <f aca="false">IFERROR(NORMDIST(E24,$F$5,$F$6,TRUE()),NA())</f>
        <v>0.59155912660471</v>
      </c>
      <c r="H24" s="27" t="str">
        <f aca="false">IF(ISNUMBER(F24),IF(F24&gt;0,"Above","Below"),"N/A")</f>
        <v>Above</v>
      </c>
    </row>
    <row r="25" customFormat="false" ht="15" hidden="false" customHeight="true" outlineLevel="0" collapsed="false">
      <c r="E25" s="44" t="n">
        <f aca="false">B14</f>
        <v>543</v>
      </c>
      <c r="F25" s="45" t="n">
        <f aca="false">IFERROR((E25-$F$5)/$F$6,NA())</f>
        <v>0.853362130085259</v>
      </c>
      <c r="G25" s="46" t="n">
        <f aca="false">IFERROR(NORMDIST(E25,$F$5,$F$6,TRUE()),NA())</f>
        <v>0.803270742255068</v>
      </c>
      <c r="H25" s="7" t="str">
        <f aca="false">IF(ISNUMBER(F25),IF(F25&gt;0,"Above","Below"),"N/A")</f>
        <v>Above</v>
      </c>
    </row>
    <row r="26" customFormat="false" ht="15" hidden="false" customHeight="true" outlineLevel="0" collapsed="false">
      <c r="E26" s="41" t="n">
        <f aca="false">B15</f>
        <v>591</v>
      </c>
      <c r="F26" s="42" t="n">
        <f aca="false">IFERROR((E26-$F$5)/$F$6,NA())</f>
        <v>1.31971562812047</v>
      </c>
      <c r="G26" s="43" t="n">
        <f aca="false">IFERROR(NORMDIST(E26,$F$5,$F$6,TRUE()),NA())</f>
        <v>0.906535009895889</v>
      </c>
      <c r="H26" s="27" t="str">
        <f aca="false">IF(ISNUMBER(F26),IF(F26&gt;0,"Above","Below"),"N/A")</f>
        <v>Above</v>
      </c>
    </row>
    <row r="27" customFormat="false" ht="15" hidden="false" customHeight="true" outlineLevel="0" collapsed="false">
      <c r="E27" s="44" t="n">
        <f aca="false">B16</f>
        <v>628</v>
      </c>
      <c r="F27" s="45" t="n">
        <f aca="false">IFERROR((E27-$F$5)/$F$6,NA())</f>
        <v>1.67919644952261</v>
      </c>
      <c r="G27" s="46" t="n">
        <f aca="false">IFERROR(NORMDIST(E27,$F$5,$F$6,TRUE()),NA())</f>
        <v>0.953443118142793</v>
      </c>
      <c r="H27" s="7" t="str">
        <f aca="false">IF(ISNUMBER(F27),IF(F27&gt;0,"Above","Below"),"N/A")</f>
        <v>Above</v>
      </c>
    </row>
  </sheetData>
  <mergeCells count="3">
    <mergeCell ref="A3:C3"/>
    <mergeCell ref="E3:G3"/>
    <mergeCell ref="E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6"/>
  </cols>
  <sheetData>
    <row r="1" customFormat="false" ht="15.75" hidden="false" customHeight="true" outlineLevel="0" collapsed="false">
      <c r="A1" s="2" t="s">
        <v>160</v>
      </c>
    </row>
    <row r="3" customFormat="false" ht="15" hidden="false" customHeight="true" outlineLevel="0" collapsed="false">
      <c r="A3" s="10" t="s">
        <v>161</v>
      </c>
      <c r="B3" s="10"/>
      <c r="C3" s="10"/>
      <c r="D3" s="10"/>
      <c r="E3" s="10"/>
    </row>
    <row r="4" customFormat="false" ht="15" hidden="false" customHeight="true" outlineLevel="0" collapsed="false">
      <c r="A4" s="4" t="s">
        <v>162</v>
      </c>
      <c r="B4" s="4" t="s">
        <v>163</v>
      </c>
      <c r="C4" s="4" t="s">
        <v>164</v>
      </c>
      <c r="D4" s="4" t="s">
        <v>165</v>
      </c>
      <c r="E4" s="4" t="s">
        <v>166</v>
      </c>
    </row>
    <row r="5" customFormat="false" ht="15" hidden="false" customHeight="true" outlineLevel="0" collapsed="false">
      <c r="A5" s="5" t="s">
        <v>42</v>
      </c>
      <c r="B5" s="14" t="n">
        <f aca="false">'Revenue Model'!B5</f>
        <v>5000</v>
      </c>
      <c r="C5" s="14" t="n">
        <f aca="false">'Revenue Model'!C5</f>
        <v>5400</v>
      </c>
      <c r="D5" s="14" t="n">
        <f aca="false">'Revenue Model'!D5</f>
        <v>5832</v>
      </c>
      <c r="E5" s="14" t="n">
        <f aca="false">'Revenue Model'!E5</f>
        <v>6298.56</v>
      </c>
    </row>
    <row r="6" customFormat="false" ht="15" hidden="false" customHeight="true" outlineLevel="0" collapsed="false">
      <c r="A6" s="16" t="s">
        <v>167</v>
      </c>
      <c r="B6" s="20" t="n">
        <f aca="false">'Revenue Model'!B13</f>
        <v>1066.5</v>
      </c>
      <c r="C6" s="20" t="n">
        <f aca="false">'Revenue Model'!C13</f>
        <v>1151.82</v>
      </c>
      <c r="D6" s="20" t="n">
        <f aca="false">'Revenue Model'!D13</f>
        <v>1243.9656</v>
      </c>
      <c r="E6" s="20" t="n">
        <f aca="false">'Revenue Model'!E13</f>
        <v>1343.482848</v>
      </c>
    </row>
    <row r="7" customFormat="false" ht="15" hidden="false" customHeight="true" outlineLevel="0" collapsed="false">
      <c r="A7" s="5" t="s">
        <v>168</v>
      </c>
      <c r="B7" s="15" t="n">
        <f aca="false">B5*0.02</f>
        <v>100</v>
      </c>
      <c r="C7" s="15" t="n">
        <f aca="false">C5*0.02</f>
        <v>108</v>
      </c>
      <c r="D7" s="15" t="n">
        <f aca="false">D5*0.02</f>
        <v>116.64</v>
      </c>
      <c r="E7" s="15" t="n">
        <f aca="false">E5*0.02</f>
        <v>125.9712</v>
      </c>
    </row>
    <row r="8" customFormat="false" ht="15" hidden="false" customHeight="true" outlineLevel="0" collapsed="false">
      <c r="A8" s="16" t="s">
        <v>169</v>
      </c>
      <c r="B8" s="20" t="n">
        <f aca="false">-B5*0.05</f>
        <v>-250</v>
      </c>
      <c r="C8" s="20" t="n">
        <f aca="false">-C5*0.05</f>
        <v>-270</v>
      </c>
      <c r="D8" s="20" t="n">
        <f aca="false">-D5*0.05</f>
        <v>-291.6</v>
      </c>
      <c r="E8" s="20" t="n">
        <f aca="false">-E5*0.05</f>
        <v>-314.928</v>
      </c>
    </row>
    <row r="9" customFormat="false" ht="15" hidden="false" customHeight="true" outlineLevel="0" collapsed="false">
      <c r="A9" s="12" t="s">
        <v>170</v>
      </c>
      <c r="B9" s="19" t="n">
        <f aca="false">B6+B7+B8</f>
        <v>916.5</v>
      </c>
      <c r="C9" s="19" t="n">
        <f aca="false">C6+C7+C8</f>
        <v>989.82</v>
      </c>
      <c r="D9" s="19" t="n">
        <f aca="false">D6+D7+D8</f>
        <v>1069.0056</v>
      </c>
      <c r="E9" s="19" t="n">
        <f aca="false">E6+E7+E8</f>
        <v>1154.526048</v>
      </c>
    </row>
    <row r="11" customFormat="false" ht="15" hidden="false" customHeight="true" outlineLevel="0" collapsed="false">
      <c r="A11" s="4" t="s">
        <v>18</v>
      </c>
      <c r="B11" s="47" t="n">
        <f aca="false">Assumptions!B10</f>
        <v>0.1</v>
      </c>
    </row>
    <row r="12" customFormat="false" ht="15" hidden="false" customHeight="true" outlineLevel="0" collapsed="false">
      <c r="A12" s="4" t="s">
        <v>171</v>
      </c>
      <c r="B12" s="48" t="n">
        <f aca="false">IFERROR(1/(1+$B$11)^1,NA())</f>
        <v>0.909090909090909</v>
      </c>
      <c r="C12" s="48" t="n">
        <f aca="false">IFERROR(1/(1+$B$11)^2,NA())</f>
        <v>0.826446280991735</v>
      </c>
      <c r="D12" s="48" t="n">
        <f aca="false">IFERROR(1/(1+$B$11)^3,NA())</f>
        <v>0.751314800901578</v>
      </c>
      <c r="E12" s="48" t="n">
        <f aca="false">IFERROR(1/(1+$B$11)^4,NA())</f>
        <v>0.683013455365071</v>
      </c>
    </row>
    <row r="13" customFormat="false" ht="15" hidden="false" customHeight="true" outlineLevel="0" collapsed="false">
      <c r="A13" s="4" t="s">
        <v>172</v>
      </c>
      <c r="B13" s="15" t="n">
        <f aca="false">IF(AND(B9&gt;0,B12&gt;0),B9*B12,B9*B12)</f>
        <v>833.181818181818</v>
      </c>
      <c r="C13" s="15" t="n">
        <f aca="false">IF(AND(C9&gt;0,C12&gt;0),C9*C12,C9*C12)</f>
        <v>818.03305785124</v>
      </c>
      <c r="D13" s="15" t="n">
        <f aca="false">IF(AND(D9&gt;0,D12&gt;0),D9*D12,D9*D12)</f>
        <v>803.159729526672</v>
      </c>
      <c r="E13" s="15" t="n">
        <f aca="false">IF(AND(E9&gt;0,E12&gt;0),E9*E12,E9*E12)</f>
        <v>788.556825353459</v>
      </c>
    </row>
    <row r="16" customFormat="false" ht="15" hidden="false" customHeight="true" outlineLevel="0" collapsed="false">
      <c r="A16" s="10" t="s">
        <v>173</v>
      </c>
      <c r="B16" s="10"/>
      <c r="C16" s="10"/>
      <c r="D16" s="10"/>
      <c r="E16" s="10"/>
    </row>
    <row r="17" customFormat="false" ht="15" hidden="false" customHeight="true" outlineLevel="0" collapsed="false">
      <c r="A17" s="4" t="s">
        <v>53</v>
      </c>
      <c r="B17" s="4" t="s">
        <v>3</v>
      </c>
      <c r="C17" s="4" t="s">
        <v>79</v>
      </c>
    </row>
    <row r="18" customFormat="false" ht="15" hidden="false" customHeight="true" outlineLevel="0" collapsed="false">
      <c r="A18" s="16" t="s">
        <v>174</v>
      </c>
      <c r="B18" s="20" t="n">
        <f aca="false">SUM(B13:E13)</f>
        <v>3242.93143091319</v>
      </c>
      <c r="C18" s="21" t="s">
        <v>56</v>
      </c>
    </row>
    <row r="19" customFormat="false" ht="15" hidden="false" customHeight="true" outlineLevel="0" collapsed="false">
      <c r="A19" s="5" t="s">
        <v>175</v>
      </c>
      <c r="B19" s="15" t="n">
        <f aca="false">IFERROR(NPV(B11,C9:E9)+B9,NA())</f>
        <v>3567.22457400451</v>
      </c>
      <c r="C19" s="8" t="s">
        <v>62</v>
      </c>
    </row>
    <row r="20" customFormat="false" ht="15" hidden="false" customHeight="true" outlineLevel="0" collapsed="false">
      <c r="A20" s="16" t="s">
        <v>176</v>
      </c>
      <c r="B20" s="20" t="n">
        <f aca="false">IFERROR(E9*(1+0.025)/(B11-0.025),NA())</f>
        <v>15778.522656</v>
      </c>
      <c r="C20" s="21" t="s">
        <v>177</v>
      </c>
    </row>
    <row r="21" customFormat="false" ht="15" hidden="false" customHeight="true" outlineLevel="0" collapsed="false">
      <c r="A21" s="5" t="s">
        <v>178</v>
      </c>
      <c r="B21" s="15" t="n">
        <f aca="false">IFERROR(B20/(1+B11)^4,NA())</f>
        <v>10776.9432798306</v>
      </c>
      <c r="C21" s="8" t="s">
        <v>66</v>
      </c>
    </row>
    <row r="22" customFormat="false" ht="15" hidden="false" customHeight="true" outlineLevel="0" collapsed="false">
      <c r="A22" s="16" t="s">
        <v>179</v>
      </c>
      <c r="B22" s="49" t="n">
        <f aca="false">IFERROR(B18+B21,NA())</f>
        <v>14019.8747107438</v>
      </c>
      <c r="C22" s="21" t="s">
        <v>180</v>
      </c>
    </row>
    <row r="23" customFormat="false" ht="15" hidden="false" customHeight="true" outlineLevel="0" collapsed="false">
      <c r="A23" s="5" t="s">
        <v>181</v>
      </c>
      <c r="B23" s="32" t="str">
        <f aca="false">IF(AND(B22&gt;0,B18&gt;0),IF(B22&gt;B18*2,"Strong Buy",IF(B22&gt;B18,"Buy","Hold")),"N/A")</f>
        <v>Strong Buy</v>
      </c>
      <c r="C23" s="8" t="s">
        <v>182</v>
      </c>
    </row>
    <row r="24" customFormat="false" ht="15" hidden="false" customHeight="true" outlineLevel="0" collapsed="false">
      <c r="A24" s="16" t="s">
        <v>183</v>
      </c>
      <c r="B24" s="31" t="str">
        <f aca="false">IFERROR(TEXT(B18,"$#,##0")&amp;"K","N/A")</f>
        <v>$3,243K</v>
      </c>
      <c r="C24" s="21" t="s">
        <v>184</v>
      </c>
    </row>
  </sheetData>
  <mergeCells count="2">
    <mergeCell ref="A3:E3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2"/>
    <col collapsed="false" customWidth="true" hidden="false" outlineLevel="0" max="4" min="4" style="1" width="34"/>
    <col collapsed="false" customWidth="true" hidden="false" outlineLevel="0" max="5" min="5" style="1" width="40"/>
  </cols>
  <sheetData>
    <row r="1" customFormat="false" ht="15.75" hidden="false" customHeight="true" outlineLevel="0" collapsed="false">
      <c r="A1" s="2" t="s">
        <v>185</v>
      </c>
    </row>
    <row r="3" customFormat="false" ht="15" hidden="false" customHeight="true" outlineLevel="0" collapsed="false">
      <c r="A3" s="10" t="s">
        <v>186</v>
      </c>
      <c r="B3" s="10"/>
      <c r="C3" s="10"/>
      <c r="D3" s="10"/>
      <c r="E3" s="10"/>
    </row>
    <row r="4" customFormat="false" ht="15" hidden="false" customHeight="true" outlineLevel="0" collapsed="false">
      <c r="A4" s="4" t="s">
        <v>187</v>
      </c>
      <c r="B4" s="4" t="s">
        <v>73</v>
      </c>
      <c r="C4" s="4" t="s">
        <v>188</v>
      </c>
      <c r="D4" s="4" t="s">
        <v>189</v>
      </c>
      <c r="E4" s="4" t="s">
        <v>190</v>
      </c>
    </row>
    <row r="5" customFormat="false" ht="15" hidden="false" customHeight="true" outlineLevel="0" collapsed="false">
      <c r="A5" s="50" t="s">
        <v>191</v>
      </c>
      <c r="B5" s="7" t="s">
        <v>192</v>
      </c>
      <c r="C5" s="8" t="s">
        <v>193</v>
      </c>
      <c r="D5" s="5" t="s">
        <v>194</v>
      </c>
      <c r="E5" s="51" t="s">
        <v>195</v>
      </c>
    </row>
    <row r="6" customFormat="false" ht="15" hidden="false" customHeight="true" outlineLevel="0" collapsed="false">
      <c r="A6" s="52" t="s">
        <v>196</v>
      </c>
      <c r="B6" s="27" t="s">
        <v>192</v>
      </c>
      <c r="C6" s="21" t="s">
        <v>193</v>
      </c>
      <c r="D6" s="16" t="s">
        <v>197</v>
      </c>
      <c r="E6" s="53" t="s">
        <v>198</v>
      </c>
    </row>
    <row r="7" customFormat="false" ht="15" hidden="false" customHeight="true" outlineLevel="0" collapsed="false">
      <c r="A7" s="50" t="s">
        <v>199</v>
      </c>
      <c r="B7" s="7" t="s">
        <v>200</v>
      </c>
      <c r="C7" s="8" t="s">
        <v>201</v>
      </c>
      <c r="D7" s="5" t="s">
        <v>202</v>
      </c>
      <c r="E7" s="51" t="s">
        <v>203</v>
      </c>
    </row>
    <row r="8" customFormat="false" ht="15" hidden="false" customHeight="true" outlineLevel="0" collapsed="false">
      <c r="A8" s="52" t="s">
        <v>204</v>
      </c>
      <c r="B8" s="27" t="s">
        <v>192</v>
      </c>
      <c r="C8" s="21" t="s">
        <v>205</v>
      </c>
      <c r="D8" s="16" t="s">
        <v>206</v>
      </c>
      <c r="E8" s="53" t="s">
        <v>207</v>
      </c>
    </row>
    <row r="9" customFormat="false" ht="15" hidden="false" customHeight="true" outlineLevel="0" collapsed="false">
      <c r="A9" s="50" t="s">
        <v>56</v>
      </c>
      <c r="B9" s="7" t="s">
        <v>66</v>
      </c>
      <c r="C9" s="8" t="s">
        <v>208</v>
      </c>
      <c r="D9" s="5" t="s">
        <v>209</v>
      </c>
      <c r="E9" s="51" t="s">
        <v>210</v>
      </c>
    </row>
    <row r="10" customFormat="false" ht="15" hidden="false" customHeight="true" outlineLevel="0" collapsed="false">
      <c r="A10" s="52" t="s">
        <v>58</v>
      </c>
      <c r="B10" s="27" t="s">
        <v>211</v>
      </c>
      <c r="C10" s="21" t="s">
        <v>212</v>
      </c>
      <c r="D10" s="16" t="s">
        <v>213</v>
      </c>
      <c r="E10" s="53" t="s">
        <v>214</v>
      </c>
    </row>
    <row r="11" customFormat="false" ht="15" hidden="false" customHeight="true" outlineLevel="0" collapsed="false">
      <c r="A11" s="50" t="s">
        <v>215</v>
      </c>
      <c r="B11" s="7" t="s">
        <v>66</v>
      </c>
      <c r="C11" s="8" t="s">
        <v>201</v>
      </c>
      <c r="D11" s="5" t="s">
        <v>216</v>
      </c>
      <c r="E11" s="51" t="s">
        <v>217</v>
      </c>
    </row>
    <row r="12" customFormat="false" ht="15" hidden="false" customHeight="true" outlineLevel="0" collapsed="false">
      <c r="A12" s="52" t="s">
        <v>62</v>
      </c>
      <c r="B12" s="27" t="s">
        <v>218</v>
      </c>
      <c r="C12" s="21" t="s">
        <v>205</v>
      </c>
      <c r="D12" s="16" t="s">
        <v>219</v>
      </c>
      <c r="E12" s="53" t="s">
        <v>220</v>
      </c>
    </row>
    <row r="13" customFormat="false" ht="15" hidden="false" customHeight="true" outlineLevel="0" collapsed="false">
      <c r="A13" s="50" t="s">
        <v>221</v>
      </c>
      <c r="B13" s="7" t="s">
        <v>222</v>
      </c>
      <c r="C13" s="8" t="s">
        <v>223</v>
      </c>
      <c r="D13" s="5" t="s">
        <v>224</v>
      </c>
      <c r="E13" s="51" t="s">
        <v>225</v>
      </c>
    </row>
    <row r="14" customFormat="false" ht="15" hidden="false" customHeight="true" outlineLevel="0" collapsed="false">
      <c r="A14" s="52" t="s">
        <v>226</v>
      </c>
      <c r="B14" s="27" t="s">
        <v>222</v>
      </c>
      <c r="C14" s="21" t="s">
        <v>227</v>
      </c>
      <c r="D14" s="16" t="s">
        <v>228</v>
      </c>
      <c r="E14" s="53" t="s">
        <v>229</v>
      </c>
    </row>
    <row r="15" customFormat="false" ht="15" hidden="false" customHeight="true" outlineLevel="0" collapsed="false">
      <c r="A15" s="50" t="s">
        <v>230</v>
      </c>
      <c r="B15" s="7" t="s">
        <v>222</v>
      </c>
      <c r="C15" s="8" t="s">
        <v>227</v>
      </c>
      <c r="D15" s="5" t="s">
        <v>231</v>
      </c>
      <c r="E15" s="51" t="s">
        <v>232</v>
      </c>
    </row>
    <row r="16" customFormat="false" ht="15" hidden="false" customHeight="true" outlineLevel="0" collapsed="false">
      <c r="A16" s="52" t="s">
        <v>233</v>
      </c>
      <c r="B16" s="27" t="s">
        <v>222</v>
      </c>
      <c r="C16" s="21" t="s">
        <v>201</v>
      </c>
      <c r="D16" s="16" t="s">
        <v>234</v>
      </c>
      <c r="E16" s="53" t="s">
        <v>235</v>
      </c>
    </row>
    <row r="17" customFormat="false" ht="15" hidden="false" customHeight="true" outlineLevel="0" collapsed="false">
      <c r="A17" s="50" t="s">
        <v>145</v>
      </c>
      <c r="B17" s="7" t="s">
        <v>222</v>
      </c>
      <c r="C17" s="8" t="s">
        <v>211</v>
      </c>
      <c r="D17" s="5" t="s">
        <v>236</v>
      </c>
      <c r="E17" s="51" t="s">
        <v>237</v>
      </c>
    </row>
    <row r="18" customFormat="false" ht="15" hidden="false" customHeight="true" outlineLevel="0" collapsed="false">
      <c r="A18" s="52" t="s">
        <v>238</v>
      </c>
      <c r="B18" s="27" t="s">
        <v>222</v>
      </c>
      <c r="C18" s="21" t="s">
        <v>211</v>
      </c>
      <c r="D18" s="16" t="s">
        <v>239</v>
      </c>
      <c r="E18" s="53" t="s">
        <v>240</v>
      </c>
    </row>
    <row r="19" customFormat="false" ht="15" hidden="false" customHeight="true" outlineLevel="0" collapsed="false">
      <c r="A19" s="50" t="s">
        <v>184</v>
      </c>
      <c r="B19" s="7" t="s">
        <v>241</v>
      </c>
      <c r="C19" s="8" t="s">
        <v>242</v>
      </c>
      <c r="D19" s="5" t="s">
        <v>243</v>
      </c>
      <c r="E19" s="51" t="s">
        <v>244</v>
      </c>
    </row>
    <row r="20" customFormat="false" ht="15" hidden="false" customHeight="true" outlineLevel="0" collapsed="false">
      <c r="A20" s="52" t="s">
        <v>245</v>
      </c>
      <c r="B20" s="27" t="s">
        <v>211</v>
      </c>
      <c r="C20" s="21" t="s">
        <v>211</v>
      </c>
      <c r="D20" s="16" t="s">
        <v>246</v>
      </c>
      <c r="E20" s="53" t="s">
        <v>247</v>
      </c>
    </row>
    <row r="21" customFormat="false" ht="15" hidden="false" customHeight="true" outlineLevel="0" collapsed="false">
      <c r="A21" s="50" t="s">
        <v>248</v>
      </c>
      <c r="B21" s="7" t="s">
        <v>200</v>
      </c>
      <c r="C21" s="8" t="s">
        <v>249</v>
      </c>
      <c r="D21" s="5" t="s">
        <v>250</v>
      </c>
      <c r="E21" s="51" t="s">
        <v>251</v>
      </c>
    </row>
  </sheetData>
  <mergeCells count="1"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2026-06-17T19:03:33Z</dcterms:created>
  <dc:creator>openpyxl</dc:creator>
  <dc:description/>
  <dc:language>en-US</dc:language>
  <cp:lastModifiedBy/>
  <dcterms:modified xsi:type="dcterms:W3CDTF">2026-06-17T19:04:11Z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